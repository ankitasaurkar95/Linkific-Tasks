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ky\Downloads\"/>
    </mc:Choice>
  </mc:AlternateContent>
  <xr:revisionPtr revIDLastSave="0" documentId="13_ncr:1_{D6F63F4C-7765-45E2-AF45-88B5A5E0FC53}" xr6:coauthVersionLast="36" xr6:coauthVersionMax="36" xr10:uidLastSave="{00000000-0000-0000-0000-000000000000}"/>
  <bookViews>
    <workbookView xWindow="0" yWindow="0" windowWidth="23040" windowHeight="8364" tabRatio="500" activeTab="2" xr2:uid="{00000000-000D-0000-FFFF-FFFF00000000}"/>
  </bookViews>
  <sheets>
    <sheet name="README" sheetId="1" r:id="rId1"/>
    <sheet name="Test Charters" sheetId="2" r:id="rId2"/>
    <sheet name="Session Notes" sheetId="3" r:id="rId3"/>
    <sheet name="Test Plan" sheetId="4" r:id="rId4"/>
    <sheet name="Test Strategy" sheetId="5" r:id="rId5"/>
    <sheet name="Risk Matrix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6" l="1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</calcChain>
</file>

<file path=xl/sharedStrings.xml><?xml version="1.0" encoding="utf-8"?>
<sst xmlns="http://schemas.openxmlformats.org/spreadsheetml/2006/main" count="246" uniqueCount="238">
  <si>
    <t>Exploratory Testing &amp; Test Planning — Worked Example</t>
  </si>
  <si>
    <t>Case: Flipkart — Search, Cart, Exchange Offer &amp; Checkout flow</t>
  </si>
  <si>
    <t>How this workbook maps to the learning objectives</t>
  </si>
  <si>
    <t>Learning objective</t>
  </si>
  <si>
    <t>Where to look</t>
  </si>
  <si>
    <t>Test Charters</t>
  </si>
  <si>
    <t>Sheet: Test Charters — SBTM missions for search/filter, cart, exchange offer and checkout on the Flipkart app, ready to run as 90-min sessions.</t>
  </si>
  <si>
    <t>Exploratory Session Notes</t>
  </si>
  <si>
    <t>Sheet: Session Notes — A completed 2-hour exploratory session log (tours, personas, bugs, questions, risks).</t>
  </si>
  <si>
    <t>Test Plan</t>
  </si>
  <si>
    <t>Sheet: Test Plan — A full test plan — objectives, scope, strategy, entry/exit criteria, schedule, deliverables.</t>
  </si>
  <si>
    <t>Test Strategy</t>
  </si>
  <si>
    <t>Sheet: Test Strategy — Overall approach, test levels/types, tools, automation strategy, defect management.</t>
  </si>
  <si>
    <t>Risk-Based Testing</t>
  </si>
  <si>
    <t>Sheet: Risk Matrix — Risk identification, scoring (probability x impact) and prioritisation — formula-driven.</t>
  </si>
  <si>
    <t>Scenario used throughout</t>
  </si>
  <si>
    <t>Flipkart is a general e-commerce app (electronics, fashion, home &amp; more). The team is releasing an update touching Product Search &amp; Filters, Cart, Exchange Offer (trade-in for mobiles), and Checkout &amp; Payment (COD, UPI, Cards, EMI). This is a realistic, high-traffic, revenue-critical area ahead of Big Billion Days — good for practising exploratory testing, charters, risk-based planning and a full test plan/strategy.</t>
  </si>
  <si>
    <t>Session-Based Test Charters (SBTM)</t>
  </si>
  <si>
    <t>Mission-based charters for 90-minute time-boxed sessions — Flipkart Search, Cart &amp; Checkout</t>
  </si>
  <si>
    <t>Charter ID</t>
  </si>
  <si>
    <t>Mission (Explore ... Using ... To discover ...)</t>
  </si>
  <si>
    <t>Areas / Features</t>
  </si>
  <si>
    <t>Resources needed</t>
  </si>
  <si>
    <t>Risks / Issues to look for</t>
  </si>
  <si>
    <t>Time-box</t>
  </si>
  <si>
    <t>CH-01</t>
  </si>
  <si>
    <t>Explore Product Search &amp; Filters using varied search terms (misspellings, model numbers, category filters) to discover irrelevant results or broken filter combinations</t>
  </si>
  <si>
    <t>Search bar, autosuggest, filter panel (brand/price/rating/exchange available), sort</t>
  </si>
  <si>
    <t>Test device (Android + iOS), catalog with known SKUs, network throttling tool</t>
  </si>
  <si>
    <t>Autosuggest showing delisted products, filters not combining correctly (e.g. brand + exchange-available), sort order resetting after filter change</t>
  </si>
  <si>
    <t>90 min</t>
  </si>
  <si>
    <t>CH-02</t>
  </si>
  <si>
    <t>Explore the Cart using multiple product variants (colour/storage) and quantity edge cases to discover pricing or stock-sync issues</t>
  </si>
  <si>
    <t>Add to cart, Edit variant/qty, Remove item, Save for later, Buy now vs Add to cart</t>
  </si>
  <si>
    <t>Test accounts, products with limited stock, products under a flash 'Deal of the Day'</t>
  </si>
  <si>
    <t>Price not updating after a Deal-of-the-Day timer expires, stock oversell (item still shows 'in stock' in cart after selling out), 'Save for later' losing selected variant</t>
  </si>
  <si>
    <t>CH-03</t>
  </si>
  <si>
    <t>Explore the Exchange Offer (trade-in) flow using different old-device conditions and IMEI inputs to discover valuation or eligibility errors</t>
  </si>
  <si>
    <t>Select exchange &gt; Enter old device details/IMEI &gt; Get valuation &gt; Apply to order</t>
  </si>
  <si>
    <t>Test accounts, list of eligible/ineligible device models, sample IMEI numbers</t>
  </si>
  <si>
    <t>Exchange discount applied without valid device confirmation, valuation not updating final payable amount, ineligible device (e.g. damaged) still allowed to proceed</t>
  </si>
  <si>
    <t>CH-04</t>
  </si>
  <si>
    <t>Explore Checkout &amp; Payment (COD, UPI, card, EMI) as a first-time app user (persona) on a slow network to discover confusing steps or payment-state issues</t>
  </si>
  <si>
    <t>Address selection/add, Payment method selection, EMI plan selection, Order confirmation, Order failure/retry</t>
  </si>
  <si>
    <t>Persona notes, throttled network, test UPI handle, test card, screen recorder</t>
  </si>
  <si>
    <t>Unclear pending-payment state, duplicate order created on retry after timeout, EMI tenure/interest not matching what was shown before payment</t>
  </si>
  <si>
    <t>60 min</t>
  </si>
  <si>
    <t>CH-05</t>
  </si>
  <si>
    <t>Explore order placement under interrupted conditions (app backgrounded, network dropped mid-payment) to discover duplicate charges or lost orders</t>
  </si>
  <si>
    <t>Payment submission, Order confirmation, Order history/tracking</t>
  </si>
  <si>
    <t>Two devices/network toggle, transaction log or order-history access</t>
  </si>
  <si>
    <t>Payment debited but order not created, duplicate order on app relaunch, order status stuck on 'Confirming' indefinitely</t>
  </si>
  <si>
    <t>Charter techniques used (for reference)</t>
  </si>
  <si>
    <t>Technique</t>
  </si>
  <si>
    <t>How it's applied above</t>
  </si>
  <si>
    <t>Feature tour</t>
  </si>
  <si>
    <t>CH-01, CH-02 — walk each feature end to end across variants (filters, storage/colour, quantities).</t>
  </si>
  <si>
    <t>Complexity tour</t>
  </si>
  <si>
    <t>CH-03, CH-05 — target trickiest logic: exchange valuation, interrupted payment state.</t>
  </si>
  <si>
    <t>Persona</t>
  </si>
  <si>
    <t>CH-04 — think like a nervous first-time shopper on a weak connection, not a QA engineer.</t>
  </si>
  <si>
    <t>Attack pattern</t>
  </si>
  <si>
    <t>CH-03, CH-05 — invalid IMEIs, ineligible devices, dropped connections, payment retries.</t>
  </si>
  <si>
    <t>Heuristic (SFDIPOT)</t>
  </si>
  <si>
    <t>Structure, Function, Data, Interface, Platform, Operations, Time — used to design CH-01 through CH-05 so all angles are covered.</t>
  </si>
  <si>
    <t>Exploratory Session Notes (SBTM Debrief)</t>
  </si>
  <si>
    <t>Completed 2-hour session covering CH-02 and CH-03 — Flipkart Cart &amp; Exchange Offer</t>
  </si>
  <si>
    <t>Session ID</t>
  </si>
  <si>
    <t>SESS-2026-09-23-01</t>
  </si>
  <si>
    <t>Charters covered</t>
  </si>
  <si>
    <t>CH-02, CH-03</t>
  </si>
  <si>
    <t>Tester</t>
  </si>
  <si>
    <t>Date</t>
  </si>
  <si>
    <t>Duration</t>
  </si>
  <si>
    <t>2 hours (2 x 60-min sub-sessions)</t>
  </si>
  <si>
    <t>Environment</t>
  </si>
  <si>
    <t>Staging (Android app v14.2), iOS Safari web, 3 test accounts, Big Billion Days catalog</t>
  </si>
  <si>
    <t>Session breakdown</t>
  </si>
  <si>
    <t>Time</t>
  </si>
  <si>
    <t>Activity (setup / test design / execution / bug investigation)</t>
  </si>
  <si>
    <t>% of session</t>
  </si>
  <si>
    <t>0:00–0:10</t>
  </si>
  <si>
    <t>Setup: prepared test accounts, added Deal-of-the-Day items to cart, listed eligible/ineligible exchange devices</t>
  </si>
  <si>
    <t>8%</t>
  </si>
  <si>
    <t>0:10–0:50</t>
  </si>
  <si>
    <t>Test design + execution: CH-02 cart edge cases (variant/qty changes, deal-timer expiry)</t>
  </si>
  <si>
    <t>33%</t>
  </si>
  <si>
    <t>0:50–1:05</t>
  </si>
  <si>
    <t>Bug investigation: stale deal price issue (see BUG-301)</t>
  </si>
  <si>
    <t>13%</t>
  </si>
  <si>
    <t>1:05–1:50</t>
  </si>
  <si>
    <t>Test design + execution: CH-03 exchange valuation and eligibility checks</t>
  </si>
  <si>
    <t>37%</t>
  </si>
  <si>
    <t>1:50–2:00</t>
  </si>
  <si>
    <t>Notes clean-up and debrief prep</t>
  </si>
  <si>
    <t>9%</t>
  </si>
  <si>
    <t>Bugs found</t>
  </si>
  <si>
    <t>Bug ID</t>
  </si>
  <si>
    <t>Description</t>
  </si>
  <si>
    <t>Steps / Where found</t>
  </si>
  <si>
    <t>Severity</t>
  </si>
  <si>
    <t>BUG-301</t>
  </si>
  <si>
    <t>Cart still shows the 'Deal of the Day' discounted price after the deal timer has expired, until the app is force-refreshed</t>
  </si>
  <si>
    <t>Add deal item to cart &gt; wait for deal countdown to hit 0 &gt; proceed to cart (Android app)</t>
  </si>
  <si>
    <t>High</t>
  </si>
  <si>
    <t>BUG-302</t>
  </si>
  <si>
    <t>Exchange discount is applied to the order total before the old device's IMEI/condition is actually confirmed by the pickup agent step</t>
  </si>
  <si>
    <t>Select exchange &gt; enter IMEI &gt; skip condition confirmation &gt; proceed to payment (iOS Safari web)</t>
  </si>
  <si>
    <t>Critical</t>
  </si>
  <si>
    <t>BUG-303</t>
  </si>
  <si>
    <t>Removing an exchange offer after applying it does not restore full item price on the order summary tile</t>
  </si>
  <si>
    <t>Cart with exchange applied &gt; tap 'Remove exchange' (Android app)</t>
  </si>
  <si>
    <t>Medium</t>
  </si>
  <si>
    <t>BUG-304</t>
  </si>
  <si>
    <t>'Save for later' loses the selected storage/colour variant, reverting to the default variant when moved back to cart</t>
  </si>
  <si>
    <t>Cart &gt; Save item for later &gt; Move to cart again</t>
  </si>
  <si>
    <t>Low</t>
  </si>
  <si>
    <t>Areas covered / not covered</t>
  </si>
  <si>
    <t>Covered</t>
  </si>
  <si>
    <t>Cart edit/remove/save-for-later on Android; exchange-offer valuation and eligibility on iOS Safari web; deal-timer price sync between cart and catalog</t>
  </si>
  <si>
    <t>Not covered</t>
  </si>
  <si>
    <t>Checkout/payment/EMI (planned CH-04 session), Flipkart Plus coins redemption, gift wrap add-on, Super Coins on Flipkart Axis card</t>
  </si>
  <si>
    <t>Questions raised / Risk areas identified</t>
  </si>
  <si>
    <t>Open questions</t>
  </si>
  <si>
    <t>Should the exchange discount be provisional until pickup-agent confirmation, and clearly labelled as such to the customer? Confirm with Product. Should cart auto-refresh when a deal timer expires, rather than requiring a manual refresh?</t>
  </si>
  <si>
    <t>Risk areas flagged</t>
  </si>
  <si>
    <t>Exchange valuation being applied before physical device confirmation (BUG-302) is a financial-risk gap — needs a focused session with backend/API testing before Big Billion Days launch</t>
  </si>
  <si>
    <t>Flipkart — Search, Cart, Exchange Offer &amp; Checkout Release 14.2</t>
  </si>
  <si>
    <t>1. Introduction &amp; Objectives</t>
  </si>
  <si>
    <t>Purpose</t>
  </si>
  <si>
    <t>Verify that Product Search &amp; Filters, Cart, Exchange Offer, and Checkout &amp; Payment work correctly, accurately (pricing/valuation) and reliably for Release 14.2, ahead of the Big Billion Days traffic spike.</t>
  </si>
  <si>
    <t>Objectives</t>
  </si>
  <si>
    <t>1) Confirm functional correctness of search, filter, cart and checkout flows. 2) Confirm pricing and exchange-valuation calculations are always correct, including edge cases. 3) Confirm usability across Android/iOS/web. 4) Surface high-risk defects early via exploratory testing, alongside scripted regression.</t>
  </si>
  <si>
    <t>2. Scope</t>
  </si>
  <si>
    <t>In scope</t>
  </si>
  <si>
    <t>Search &amp; autosuggest, filters &amp; sort, Cart (add/edit/remove/save-for-later), Exchange Offer (valuation, eligibility, IMEI check), address selection, payment (COD, UPI, card, EMI), order confirmation, order tracking (status only).</t>
  </si>
  <si>
    <t>Out of scope</t>
  </si>
  <si>
    <t>Seller/marketplace dashboard, returns &amp; refunds processing (separate test plan), Flipkart Plus/Super Coins loyalty program, gift cards, customer support chat.</t>
  </si>
  <si>
    <t>3. Test Strategy (summary)</t>
  </si>
  <si>
    <t>Approach</t>
  </si>
  <si>
    <t>Risk-based combination of scripted functional/regression testing (critical revenue paths, see Test Strategy sheet) and session-based exploratory testing (charters, see Test Charters sheet) for usability, edge cases and pricing/exchange-valuation gaps.</t>
  </si>
  <si>
    <t>4. Resources &amp; Schedule</t>
  </si>
  <si>
    <t>Team</t>
  </si>
  <si>
    <t>1 Test Lead, 3 Manual/Exploratory Testers (Android/iOS/Web), 1 Automation Engineer (shared), 1 Backend/API tester (part-time, pricing &amp; exchange-valuation service).</t>
  </si>
  <si>
    <t>Schedule</t>
  </si>
  <si>
    <t>Test design: Days 1-2. Scripted execution: Days 3-5. Exploratory sessions: Days 3-6 (2 sessions/day). Regression + retest: Days 6-7. Sign-off: Day 8, ahead of Big Billion Days go-live.</t>
  </si>
  <si>
    <t>5. Entry Criteria</t>
  </si>
  <si>
    <t>Entry</t>
  </si>
  <si>
    <t>Build deployed to staging and smoke-tested; test catalog with deal + full-price SKUs provisioned; exchange-eligible/ineligible device list seeded; test cases and charters reviewed; no P1/Blocker defects open from prior build.</t>
  </si>
  <si>
    <t>6. Exit Criteria</t>
  </si>
  <si>
    <t>Exit</t>
  </si>
  <si>
    <t>100% of planned scripted test cases executed; 0 open Critical/High defects; all exploratory charters for in-scope areas completed with debrief notes; Medium/Low defects triaged and either fixed or accepted by Product Owner.</t>
  </si>
  <si>
    <t>7. Deliverables</t>
  </si>
  <si>
    <t>Deliverables</t>
  </si>
  <si>
    <t>Test plan (this document), test charters and session notes, executed test cases, defect reports, risk matrix, test summary report, sign-off email.</t>
  </si>
  <si>
    <t>8. Risks &amp; Mitigation</t>
  </si>
  <si>
    <t>Risks</t>
  </si>
  <si>
    <t>See 'Risk Matrix' sheet for the full risk register with probability, impact and mitigation per risk (e.g. exchange valuation applied pre-confirmation, deal-timer price sync, duplicate order on payment retry).</t>
  </si>
  <si>
    <t>Test Strategy Document</t>
  </si>
  <si>
    <t>Overall Testing Approach</t>
  </si>
  <si>
    <t>Blend scripted testing for known, high-value, repeatable paths (pricing calculations, exchange valuation, payment flows, order creation) with session-based exploratory testing for discovery of unknown issues, usability problems and stock/deal-timer edge cases — see 'When to use exploratory' below.</t>
  </si>
  <si>
    <t>Test Levels</t>
  </si>
  <si>
    <t>Unit</t>
  </si>
  <si>
    <t>Developers — covers discount/exchange-valuation calculation logic, filter/sort logic (automated, CI).</t>
  </si>
  <si>
    <t>Integration</t>
  </si>
  <si>
    <t>Automation Engineer — API contracts between Catalog, Cart, Exchange-valuation and Payment services.</t>
  </si>
  <si>
    <t>System</t>
  </si>
  <si>
    <t>QA team — end-to-end scripted + exploratory, as in this workbook.</t>
  </si>
  <si>
    <t>UAT</t>
  </si>
  <si>
    <t>Business/Category stakeholders — sign off against real Big Billion Days shopping scenarios.</t>
  </si>
  <si>
    <t>Types of Testing</t>
  </si>
  <si>
    <t>Functional</t>
  </si>
  <si>
    <t>Search/filter, cart, exchange offer, checkout, payment — scripted test cases against requirements.</t>
  </si>
  <si>
    <t>Exploratory</t>
  </si>
  <si>
    <t>Charter-driven sessions (see Test Charters sheet) for usability, edge cases, pricing/valuation gaps.</t>
  </si>
  <si>
    <t>Security</t>
  </si>
  <si>
    <t>Payment data handling, exchange-offer abuse (fake IMEI/condition), address/PII protection.</t>
  </si>
  <si>
    <t>Compatibility</t>
  </si>
  <si>
    <t>Android app, iOS app, mobile web (Safari/Chrome); low-end devices and slow networks.</t>
  </si>
  <si>
    <t>Performance</t>
  </si>
  <si>
    <t>Search/filter response time and checkout throughput under Big-Billion-Days-level concurrent load (non-functional, separate NFR plan).</t>
  </si>
  <si>
    <t>When to Use Exploratory (vs Scripted)</t>
  </si>
  <si>
    <t>Guidance</t>
  </si>
  <si>
    <t>Use exploratory testing for new/changed features (first pass), ambiguous pricing/exchange-valuation rules, usability judgement, and hunting for edge cases scripted tests won't anticipate (e.g. deal timer expiring mid-session). Use scripted testing for regression, revenue-critical calculations, and anything needing repeatable, auditable evidence. The two complement each other — exploratory findings become new scripted regression cases (e.g. BUG-302 becomes a permanent 'exchange discount pending confirmation' test case).</t>
  </si>
  <si>
    <t>Tools &amp; Techniques</t>
  </si>
  <si>
    <t>Tools</t>
  </si>
  <si>
    <t>Test management: session charter sheet (this workbook) / SBTM notes. Defect tracking: Jira. Automation: Appium (mobile) + Playwright (web) for regression suite. Devices: BrowserStack App Live / Device Farm for cross-device coverage.</t>
  </si>
  <si>
    <t>Techniques</t>
  </si>
  <si>
    <t>Tours (feature, complexity), Personas (first-time shopper, bargain hunter, upgrade-via-exchange buyer), Attack patterns (invalid IMEI, expired deal timers, interrupted payment), Heuristics (SFDIPOT), Risk-based prioritisation (see Risk Matrix).</t>
  </si>
  <si>
    <t>Automation Strategy</t>
  </si>
  <si>
    <t>Strategy</t>
  </si>
  <si>
    <t>Automate stable, high-value regression paths after they've been validated manually/exploratorily at least once (e.g. standard search, standard checkout with COD/UPI/EMI). Do not automate exploratory sessions — their value is human judgement and adaptability. New exploratory bugs get added to the automated suite once fixed, to prevent regression before the next sale event.</t>
  </si>
  <si>
    <t>Defect Management</t>
  </si>
  <si>
    <t>Process</t>
  </si>
  <si>
    <t>Log in Jira with: steps to reproduce, environment (device/OS/app version), severity, evidence (screenshot/recording), linked charter/test case ID. Triage daily during active test cycle, twice daily in Big Billion Days crunch week. Severity: Critical = payment/order-creation failure, incorrect financial calculation, or security issue; High = feature broken, no workaround; Medium = feature impaired, workaround exists; Low = cosmetic.</t>
  </si>
  <si>
    <t>Risk-Based Testing — Risk Matrix</t>
  </si>
  <si>
    <t>Probability x Impact = Risk Score. Score &gt;=15 = High priority, 8-14 = Medium, &lt;8 = Low</t>
  </si>
  <si>
    <t>Risk ID</t>
  </si>
  <si>
    <t>Risk description</t>
  </si>
  <si>
    <t>Area</t>
  </si>
  <si>
    <t>Probability (1-5)</t>
  </si>
  <si>
    <t>Impact (1-5)</t>
  </si>
  <si>
    <t>Risk score</t>
  </si>
  <si>
    <t>Priority</t>
  </si>
  <si>
    <t>Mitigation / Test focus</t>
  </si>
  <si>
    <t>R-01</t>
  </si>
  <si>
    <t>Exchange-offer discount applied to order total before the old device's condition/IMEI is actually confirmed</t>
  </si>
  <si>
    <t>Exchange Offer</t>
  </si>
  <si>
    <t>Dedicated exchange-valuation exploratory session (CH-03); add server-side confirmation-gating regression tests</t>
  </si>
  <si>
    <t>R-02</t>
  </si>
  <si>
    <t>Cart shows stale 'Deal of the Day' price after the deal timer expires, allowing checkout at the wrong price</t>
  </si>
  <si>
    <t>Cart/Pricing</t>
  </si>
  <si>
    <t>Boundary-value exploratory session (CH-02); automate a deal-timer price-sync regression check</t>
  </si>
  <si>
    <t>R-03</t>
  </si>
  <si>
    <t>Payment debited but order not created due to a dropped connection or app backgrounding mid-payment</t>
  </si>
  <si>
    <t>Checkout/Payment</t>
  </si>
  <si>
    <t>Network-interruption exploratory session (CH-05); idempotency check in payment/order API integration tests</t>
  </si>
  <si>
    <t>R-04</t>
  </si>
  <si>
    <t>Duplicate order created when user retries payment after a timeout</t>
  </si>
  <si>
    <t>Covered via CH-04/CH-05; add idempotency-key regression test at API level</t>
  </si>
  <si>
    <t>R-05</t>
  </si>
  <si>
    <t>EMI tenure or interest shown at checkout does not match what's confirmed on the bank's payment page</t>
  </si>
  <si>
    <t>Scripted regression across major banks' EMI plans; spot-check in CH-04 exploratory session</t>
  </si>
  <si>
    <t>R-06</t>
  </si>
  <si>
    <t>Search/filter combinations return incorrect or irrelevant results (e.g. brand + exchange-available filter)</t>
  </si>
  <si>
    <t>Search/Filters</t>
  </si>
  <si>
    <t>Cross-filter exploratory pass (CH-01); scripted regression matrix for common filter combinations</t>
  </si>
  <si>
    <t>R-07</t>
  </si>
  <si>
    <t>'Save for later' loses selected storage/colour variant</t>
  </si>
  <si>
    <t>Cart/Wishlist</t>
  </si>
  <si>
    <t>Scripted regression cases for variant persistence; covered incidentally in CH-02 debrief (BUG-304)</t>
  </si>
  <si>
    <t>R-08</t>
  </si>
  <si>
    <t>Staging environment or catalog data instability delays test execution ahead of Big Billion Days launch</t>
  </si>
  <si>
    <t>Environment/Process</t>
  </si>
  <si>
    <t>Daily environment/catalog health-check before sessions; escalation path to DevOps agreed up front</t>
  </si>
  <si>
    <t>Scoring legend</t>
  </si>
  <si>
    <t>Probability &amp; Impact scored 1 (very low) to 5 (very high). Risk score = Probability x Impact. High priority (&gt;=15) risks get exploratory + scripted coverage; Medium (8-14) get scripted coverage; Low (&lt;8) are monitored and covered opportunistically.</t>
  </si>
  <si>
    <t>Ankita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</si>
</sst>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1A5DC8"/>
      <name val="Arial"/>
      <family val="2"/>
    </font>
    <font>
      <b/>
      <sz val="12"/>
      <color rgb="FFFFFFFF"/>
      <name val="Arial"/>
      <family val="2"/>
    </font>
    <font>
      <b/>
      <sz val="10"/>
      <color rgb="FF21212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874F0"/>
        <bgColor rgb="FF1A5DC8"/>
      </patternFill>
    </fill>
    <fill>
      <patternFill patternType="solid">
        <fgColor rgb="FFE8F0FE"/>
        <bgColor rgb="FFFFFFFF"/>
      </patternFill>
    </fill>
    <fill>
      <patternFill patternType="solid">
        <fgColor rgb="FF1A5DC8"/>
        <bgColor rgb="FF2874F0"/>
      </patternFill>
    </fill>
    <fill>
      <patternFill patternType="solid">
        <fgColor rgb="FFFFE11B"/>
        <bgColor rgb="FFFFFF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15" fontId="6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8F0FE"/>
      <rgbColor rgb="FF660066"/>
      <rgbColor rgb="FFFF8080"/>
      <rgbColor rgb="FF1A5D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874F0"/>
      <rgbColor rgb="FF33CCCC"/>
      <rgbColor rgb="FF99CC00"/>
      <rgbColor rgb="FFFFE11B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opLeftCell="A4" zoomScaleNormal="100" workbookViewId="0">
      <selection sqref="A1:E1"/>
    </sheetView>
  </sheetViews>
  <sheetFormatPr defaultColWidth="8.6640625" defaultRowHeight="14.4" x14ac:dyDescent="0.3"/>
  <cols>
    <col min="1" max="1" width="4" customWidth="1"/>
    <col min="2" max="2" width="34" customWidth="1"/>
    <col min="3" max="3" width="70" customWidth="1"/>
    <col min="4" max="5" width="22" customWidth="1"/>
  </cols>
  <sheetData>
    <row r="1" spans="1:5" ht="39.75" customHeight="1" x14ac:dyDescent="0.3">
      <c r="A1" s="7" t="s">
        <v>0</v>
      </c>
      <c r="B1" s="7"/>
      <c r="C1" s="7"/>
      <c r="D1" s="7"/>
      <c r="E1" s="7"/>
    </row>
    <row r="2" spans="1:5" ht="18" customHeight="1" x14ac:dyDescent="0.3">
      <c r="A2" s="6" t="s">
        <v>1</v>
      </c>
      <c r="B2" s="6"/>
      <c r="C2" s="6"/>
      <c r="D2" s="6"/>
      <c r="E2" s="6"/>
    </row>
    <row r="4" spans="1:5" ht="19.5" customHeight="1" x14ac:dyDescent="0.3">
      <c r="A4" s="5" t="s">
        <v>2</v>
      </c>
      <c r="B4" s="5"/>
      <c r="C4" s="5"/>
      <c r="D4" s="5"/>
      <c r="E4" s="5"/>
    </row>
    <row r="6" spans="1:5" ht="15" customHeight="1" x14ac:dyDescent="0.3">
      <c r="B6" s="8" t="s">
        <v>3</v>
      </c>
      <c r="C6" s="4" t="s">
        <v>4</v>
      </c>
      <c r="D6" s="4"/>
      <c r="E6" s="4"/>
    </row>
    <row r="7" spans="1:5" ht="30" customHeight="1" x14ac:dyDescent="0.3">
      <c r="B7" s="9" t="s">
        <v>5</v>
      </c>
      <c r="C7" s="3" t="s">
        <v>6</v>
      </c>
      <c r="D7" s="3"/>
      <c r="E7" s="3"/>
    </row>
    <row r="8" spans="1:5" ht="30" customHeight="1" x14ac:dyDescent="0.3">
      <c r="B8" s="9" t="s">
        <v>7</v>
      </c>
      <c r="C8" s="3" t="s">
        <v>8</v>
      </c>
      <c r="D8" s="3"/>
      <c r="E8" s="3"/>
    </row>
    <row r="9" spans="1:5" ht="30" customHeight="1" x14ac:dyDescent="0.3">
      <c r="B9" s="9" t="s">
        <v>9</v>
      </c>
      <c r="C9" s="3" t="s">
        <v>10</v>
      </c>
      <c r="D9" s="3"/>
      <c r="E9" s="3"/>
    </row>
    <row r="10" spans="1:5" ht="30" customHeight="1" x14ac:dyDescent="0.3">
      <c r="B10" s="9" t="s">
        <v>11</v>
      </c>
      <c r="C10" s="3" t="s">
        <v>12</v>
      </c>
      <c r="D10" s="3"/>
      <c r="E10" s="3"/>
    </row>
    <row r="11" spans="1:5" ht="30" customHeight="1" x14ac:dyDescent="0.3">
      <c r="B11" s="9" t="s">
        <v>13</v>
      </c>
      <c r="C11" s="3" t="s">
        <v>14</v>
      </c>
      <c r="D11" s="3"/>
      <c r="E11" s="3"/>
    </row>
    <row r="13" spans="1:5" ht="19.5" customHeight="1" x14ac:dyDescent="0.3">
      <c r="A13" s="5" t="s">
        <v>15</v>
      </c>
      <c r="B13" s="5"/>
      <c r="C13" s="5"/>
      <c r="D13" s="5"/>
      <c r="E13" s="5"/>
    </row>
    <row r="14" spans="1:5" ht="15" customHeight="1" x14ac:dyDescent="0.3">
      <c r="B14" s="2" t="s">
        <v>16</v>
      </c>
      <c r="C14" s="2"/>
      <c r="D14" s="2"/>
      <c r="E14" s="2"/>
    </row>
    <row r="15" spans="1:5" x14ac:dyDescent="0.3">
      <c r="B15" s="2"/>
      <c r="C15" s="2"/>
      <c r="D15" s="2"/>
      <c r="E15" s="2"/>
    </row>
    <row r="16" spans="1:5" x14ac:dyDescent="0.3">
      <c r="B16" s="2"/>
      <c r="C16" s="2"/>
      <c r="D16" s="2"/>
      <c r="E16" s="2"/>
    </row>
    <row r="17" spans="2:5" x14ac:dyDescent="0.3">
      <c r="B17" s="2"/>
      <c r="C17" s="2"/>
      <c r="D17" s="2"/>
      <c r="E17" s="2"/>
    </row>
  </sheetData>
  <mergeCells count="11">
    <mergeCell ref="B14:E17"/>
    <mergeCell ref="C8:E8"/>
    <mergeCell ref="C9:E9"/>
    <mergeCell ref="C10:E10"/>
    <mergeCell ref="C11:E11"/>
    <mergeCell ref="A13:E13"/>
    <mergeCell ref="A1:E1"/>
    <mergeCell ref="A2:E2"/>
    <mergeCell ref="A4:E4"/>
    <mergeCell ref="C6:E6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topLeftCell="A7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10" customWidth="1"/>
    <col min="3" max="3" width="26" customWidth="1"/>
    <col min="4" max="4" width="30" customWidth="1"/>
    <col min="5" max="6" width="26" customWidth="1"/>
    <col min="7" max="7" width="14" customWidth="1"/>
  </cols>
  <sheetData>
    <row r="1" spans="1:7" ht="33.75" customHeight="1" x14ac:dyDescent="0.3">
      <c r="A1" s="7" t="s">
        <v>17</v>
      </c>
      <c r="B1" s="7"/>
      <c r="C1" s="7"/>
      <c r="D1" s="7"/>
      <c r="E1" s="7"/>
      <c r="F1" s="7"/>
      <c r="G1" s="7"/>
    </row>
    <row r="2" spans="1:7" ht="18" customHeight="1" x14ac:dyDescent="0.3">
      <c r="A2" s="6" t="s">
        <v>18</v>
      </c>
      <c r="B2" s="6"/>
      <c r="C2" s="6"/>
      <c r="D2" s="6"/>
      <c r="E2" s="6"/>
      <c r="F2" s="6"/>
      <c r="G2" s="6"/>
    </row>
    <row r="4" spans="1:7" ht="30" customHeight="1" x14ac:dyDescent="0.3"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spans="1:7" ht="60" customHeight="1" x14ac:dyDescent="0.3"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</row>
    <row r="6" spans="1:7" ht="60" customHeight="1" x14ac:dyDescent="0.3">
      <c r="B6" s="9" t="s">
        <v>31</v>
      </c>
      <c r="C6" s="9" t="s">
        <v>32</v>
      </c>
      <c r="D6" s="9" t="s">
        <v>33</v>
      </c>
      <c r="E6" s="9" t="s">
        <v>34</v>
      </c>
      <c r="F6" s="9" t="s">
        <v>35</v>
      </c>
      <c r="G6" s="9" t="s">
        <v>30</v>
      </c>
    </row>
    <row r="7" spans="1:7" ht="60" customHeight="1" x14ac:dyDescent="0.3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30</v>
      </c>
    </row>
    <row r="8" spans="1:7" ht="60" customHeight="1" x14ac:dyDescent="0.3"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9" t="s">
        <v>46</v>
      </c>
    </row>
    <row r="9" spans="1:7" ht="60" customHeight="1" x14ac:dyDescent="0.3">
      <c r="B9" s="9" t="s">
        <v>47</v>
      </c>
      <c r="C9" s="9" t="s">
        <v>48</v>
      </c>
      <c r="D9" s="9" t="s">
        <v>49</v>
      </c>
      <c r="E9" s="9" t="s">
        <v>50</v>
      </c>
      <c r="F9" s="9" t="s">
        <v>51</v>
      </c>
      <c r="G9" s="9" t="s">
        <v>46</v>
      </c>
    </row>
    <row r="11" spans="1:7" ht="19.5" customHeight="1" x14ac:dyDescent="0.3">
      <c r="A11" s="5" t="s">
        <v>52</v>
      </c>
      <c r="B11" s="5"/>
      <c r="C11" s="5"/>
      <c r="D11" s="5"/>
      <c r="E11" s="5"/>
      <c r="F11" s="5"/>
      <c r="G11" s="5"/>
    </row>
    <row r="12" spans="1:7" ht="15" customHeight="1" x14ac:dyDescent="0.3">
      <c r="B12" s="8" t="s">
        <v>53</v>
      </c>
      <c r="C12" s="1" t="s">
        <v>54</v>
      </c>
      <c r="D12" s="1"/>
      <c r="E12" s="1"/>
      <c r="F12" s="1"/>
      <c r="G12" s="1"/>
    </row>
    <row r="13" spans="1:7" ht="27.75" customHeight="1" x14ac:dyDescent="0.3">
      <c r="B13" s="9" t="s">
        <v>55</v>
      </c>
      <c r="C13" s="3" t="s">
        <v>56</v>
      </c>
      <c r="D13" s="3"/>
      <c r="E13" s="3"/>
      <c r="F13" s="3"/>
      <c r="G13" s="3"/>
    </row>
    <row r="14" spans="1:7" ht="27.75" customHeight="1" x14ac:dyDescent="0.3">
      <c r="B14" s="9" t="s">
        <v>57</v>
      </c>
      <c r="C14" s="3" t="s">
        <v>58</v>
      </c>
      <c r="D14" s="3"/>
      <c r="E14" s="3"/>
      <c r="F14" s="3"/>
      <c r="G14" s="3"/>
    </row>
    <row r="15" spans="1:7" ht="27.75" customHeight="1" x14ac:dyDescent="0.3">
      <c r="B15" s="9" t="s">
        <v>59</v>
      </c>
      <c r="C15" s="3" t="s">
        <v>60</v>
      </c>
      <c r="D15" s="3"/>
      <c r="E15" s="3"/>
      <c r="F15" s="3"/>
      <c r="G15" s="3"/>
    </row>
    <row r="16" spans="1:7" ht="27.75" customHeight="1" x14ac:dyDescent="0.3">
      <c r="B16" s="9" t="s">
        <v>61</v>
      </c>
      <c r="C16" s="3" t="s">
        <v>62</v>
      </c>
      <c r="D16" s="3"/>
      <c r="E16" s="3"/>
      <c r="F16" s="3"/>
      <c r="G16" s="3"/>
    </row>
    <row r="17" spans="2:7" ht="27.75" customHeight="1" x14ac:dyDescent="0.3">
      <c r="B17" s="9" t="s">
        <v>63</v>
      </c>
      <c r="C17" s="3" t="s">
        <v>64</v>
      </c>
      <c r="D17" s="3"/>
      <c r="E17" s="3"/>
      <c r="F17" s="3"/>
      <c r="G17" s="3"/>
    </row>
  </sheetData>
  <mergeCells count="9">
    <mergeCell ref="C14:G14"/>
    <mergeCell ref="C15:G15"/>
    <mergeCell ref="C16:G16"/>
    <mergeCell ref="C17:G17"/>
    <mergeCell ref="A1:G1"/>
    <mergeCell ref="A2:G2"/>
    <mergeCell ref="A11:G11"/>
    <mergeCell ref="C12:G12"/>
    <mergeCell ref="C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tabSelected="1" zoomScaleNormal="100" workbookViewId="0">
      <selection activeCell="C7" sqref="C7:G7"/>
    </sheetView>
  </sheetViews>
  <sheetFormatPr defaultColWidth="8.6640625" defaultRowHeight="14.4" x14ac:dyDescent="0.3"/>
  <cols>
    <col min="1" max="1" width="4" customWidth="1"/>
    <col min="2" max="2" width="22" customWidth="1"/>
    <col min="3" max="3" width="46" customWidth="1"/>
    <col min="4" max="7" width="16" customWidth="1"/>
  </cols>
  <sheetData>
    <row r="1" spans="1:7" ht="33.75" customHeight="1" x14ac:dyDescent="0.3">
      <c r="A1" s="7" t="s">
        <v>65</v>
      </c>
      <c r="B1" s="7"/>
      <c r="C1" s="7"/>
      <c r="D1" s="7"/>
      <c r="E1" s="7"/>
      <c r="F1" s="7"/>
      <c r="G1" s="7"/>
    </row>
    <row r="2" spans="1:7" ht="18" customHeight="1" x14ac:dyDescent="0.3">
      <c r="A2" s="6" t="s">
        <v>66</v>
      </c>
      <c r="B2" s="6"/>
      <c r="C2" s="6"/>
      <c r="D2" s="6"/>
      <c r="E2" s="6"/>
      <c r="F2" s="6"/>
      <c r="G2" s="6"/>
    </row>
    <row r="4" spans="1:7" ht="15" customHeight="1" x14ac:dyDescent="0.3">
      <c r="B4" s="10" t="s">
        <v>67</v>
      </c>
      <c r="C4" s="3" t="s">
        <v>68</v>
      </c>
      <c r="D4" s="3"/>
      <c r="E4" s="3"/>
      <c r="F4" s="3"/>
      <c r="G4" s="3"/>
    </row>
    <row r="5" spans="1:7" ht="15" customHeight="1" x14ac:dyDescent="0.3">
      <c r="B5" s="10" t="s">
        <v>69</v>
      </c>
      <c r="C5" s="3" t="s">
        <v>70</v>
      </c>
      <c r="D5" s="3"/>
      <c r="E5" s="3"/>
      <c r="F5" s="3"/>
      <c r="G5" s="3"/>
    </row>
    <row r="6" spans="1:7" ht="15" customHeight="1" x14ac:dyDescent="0.3">
      <c r="B6" s="10" t="s">
        <v>71</v>
      </c>
      <c r="C6" s="17" t="s">
        <v>237</v>
      </c>
      <c r="D6" s="3"/>
      <c r="E6" s="3"/>
      <c r="F6" s="3"/>
      <c r="G6" s="3"/>
    </row>
    <row r="7" spans="1:7" ht="15" customHeight="1" x14ac:dyDescent="0.3">
      <c r="B7" s="10" t="s">
        <v>72</v>
      </c>
      <c r="C7" s="18">
        <v>46287</v>
      </c>
      <c r="D7" s="3"/>
      <c r="E7" s="3"/>
      <c r="F7" s="3"/>
      <c r="G7" s="3"/>
    </row>
    <row r="8" spans="1:7" ht="15" customHeight="1" x14ac:dyDescent="0.3">
      <c r="B8" s="10" t="s">
        <v>73</v>
      </c>
      <c r="C8" s="3" t="s">
        <v>74</v>
      </c>
      <c r="D8" s="3"/>
      <c r="E8" s="3"/>
      <c r="F8" s="3"/>
      <c r="G8" s="3"/>
    </row>
    <row r="9" spans="1:7" ht="15" customHeight="1" x14ac:dyDescent="0.3">
      <c r="B9" s="10" t="s">
        <v>75</v>
      </c>
      <c r="C9" s="3" t="s">
        <v>76</v>
      </c>
      <c r="D9" s="3"/>
      <c r="E9" s="3"/>
      <c r="F9" s="3"/>
      <c r="G9" s="3"/>
    </row>
    <row r="11" spans="1:7" ht="19.5" customHeight="1" x14ac:dyDescent="0.3">
      <c r="A11" s="5" t="s">
        <v>77</v>
      </c>
      <c r="B11" s="5"/>
      <c r="C11" s="5"/>
      <c r="D11" s="5"/>
      <c r="E11" s="5"/>
      <c r="F11" s="5"/>
      <c r="G11" s="5"/>
    </row>
    <row r="12" spans="1:7" ht="23.85" customHeight="1" x14ac:dyDescent="0.3">
      <c r="B12" s="8" t="s">
        <v>78</v>
      </c>
      <c r="C12" s="8" t="s">
        <v>79</v>
      </c>
      <c r="D12" s="4" t="s">
        <v>80</v>
      </c>
      <c r="E12" s="4"/>
      <c r="F12" s="4"/>
      <c r="G12" s="4"/>
    </row>
    <row r="13" spans="1:7" ht="25.5" customHeight="1" x14ac:dyDescent="0.3">
      <c r="B13" s="9" t="s">
        <v>81</v>
      </c>
      <c r="C13" s="3" t="s">
        <v>82</v>
      </c>
      <c r="D13" s="3"/>
      <c r="E13" s="3"/>
      <c r="F13" s="3"/>
      <c r="G13" s="11" t="s">
        <v>83</v>
      </c>
    </row>
    <row r="14" spans="1:7" ht="25.5" customHeight="1" x14ac:dyDescent="0.3">
      <c r="B14" s="9" t="s">
        <v>84</v>
      </c>
      <c r="C14" s="3" t="s">
        <v>85</v>
      </c>
      <c r="D14" s="3"/>
      <c r="E14" s="3"/>
      <c r="F14" s="3"/>
      <c r="G14" s="11" t="s">
        <v>86</v>
      </c>
    </row>
    <row r="15" spans="1:7" ht="25.5" customHeight="1" x14ac:dyDescent="0.3">
      <c r="B15" s="9" t="s">
        <v>87</v>
      </c>
      <c r="C15" s="3" t="s">
        <v>88</v>
      </c>
      <c r="D15" s="3"/>
      <c r="E15" s="3"/>
      <c r="F15" s="3"/>
      <c r="G15" s="11" t="s">
        <v>89</v>
      </c>
    </row>
    <row r="16" spans="1:7" ht="25.5" customHeight="1" x14ac:dyDescent="0.3">
      <c r="B16" s="9" t="s">
        <v>90</v>
      </c>
      <c r="C16" s="3" t="s">
        <v>91</v>
      </c>
      <c r="D16" s="3"/>
      <c r="E16" s="3"/>
      <c r="F16" s="3"/>
      <c r="G16" s="11" t="s">
        <v>92</v>
      </c>
    </row>
    <row r="17" spans="1:7" ht="25.5" customHeight="1" x14ac:dyDescent="0.3">
      <c r="B17" s="9" t="s">
        <v>93</v>
      </c>
      <c r="C17" s="3" t="s">
        <v>94</v>
      </c>
      <c r="D17" s="3"/>
      <c r="E17" s="3"/>
      <c r="F17" s="3"/>
      <c r="G17" s="11" t="s">
        <v>95</v>
      </c>
    </row>
    <row r="19" spans="1:7" ht="19.5" customHeight="1" x14ac:dyDescent="0.3">
      <c r="A19" s="5" t="s">
        <v>96</v>
      </c>
      <c r="B19" s="5"/>
      <c r="C19" s="5"/>
      <c r="D19" s="5"/>
      <c r="E19" s="5"/>
      <c r="F19" s="5"/>
      <c r="G19" s="5"/>
    </row>
    <row r="20" spans="1:7" ht="15" customHeight="1" x14ac:dyDescent="0.3">
      <c r="B20" s="8" t="s">
        <v>97</v>
      </c>
      <c r="C20" s="4" t="s">
        <v>98</v>
      </c>
      <c r="D20" s="4"/>
      <c r="E20" s="4" t="s">
        <v>99</v>
      </c>
      <c r="F20" s="4"/>
      <c r="G20" s="8" t="s">
        <v>100</v>
      </c>
    </row>
    <row r="21" spans="1:7" ht="36" customHeight="1" x14ac:dyDescent="0.3">
      <c r="B21" s="9" t="s">
        <v>101</v>
      </c>
      <c r="C21" s="3" t="s">
        <v>102</v>
      </c>
      <c r="D21" s="3"/>
      <c r="E21" s="3" t="s">
        <v>103</v>
      </c>
      <c r="F21" s="3"/>
      <c r="G21" s="12" t="s">
        <v>104</v>
      </c>
    </row>
    <row r="22" spans="1:7" ht="36" customHeight="1" x14ac:dyDescent="0.3">
      <c r="B22" s="9" t="s">
        <v>105</v>
      </c>
      <c r="C22" s="3" t="s">
        <v>106</v>
      </c>
      <c r="D22" s="3"/>
      <c r="E22" s="3" t="s">
        <v>107</v>
      </c>
      <c r="F22" s="3"/>
      <c r="G22" s="12" t="s">
        <v>108</v>
      </c>
    </row>
    <row r="23" spans="1:7" ht="36" customHeight="1" x14ac:dyDescent="0.3">
      <c r="B23" s="9" t="s">
        <v>109</v>
      </c>
      <c r="C23" s="3" t="s">
        <v>110</v>
      </c>
      <c r="D23" s="3"/>
      <c r="E23" s="3" t="s">
        <v>111</v>
      </c>
      <c r="F23" s="3"/>
      <c r="G23" s="13" t="s">
        <v>112</v>
      </c>
    </row>
    <row r="24" spans="1:7" ht="36" customHeight="1" x14ac:dyDescent="0.3">
      <c r="B24" s="9" t="s">
        <v>113</v>
      </c>
      <c r="C24" s="3" t="s">
        <v>114</v>
      </c>
      <c r="D24" s="3"/>
      <c r="E24" s="3" t="s">
        <v>115</v>
      </c>
      <c r="F24" s="3"/>
      <c r="G24" s="14" t="s">
        <v>116</v>
      </c>
    </row>
    <row r="26" spans="1:7" ht="19.5" customHeight="1" x14ac:dyDescent="0.3">
      <c r="A26" s="5" t="s">
        <v>117</v>
      </c>
      <c r="B26" s="5"/>
      <c r="C26" s="5"/>
      <c r="D26" s="5"/>
      <c r="E26" s="5"/>
      <c r="F26" s="5"/>
      <c r="G26" s="5"/>
    </row>
    <row r="27" spans="1:7" ht="25.5" customHeight="1" x14ac:dyDescent="0.3">
      <c r="B27" s="10" t="s">
        <v>118</v>
      </c>
      <c r="C27" s="3" t="s">
        <v>119</v>
      </c>
      <c r="D27" s="3"/>
      <c r="E27" s="3"/>
      <c r="F27" s="3"/>
      <c r="G27" s="3"/>
    </row>
    <row r="28" spans="1:7" ht="25.5" customHeight="1" x14ac:dyDescent="0.3">
      <c r="B28" s="10" t="s">
        <v>120</v>
      </c>
      <c r="C28" s="3" t="s">
        <v>121</v>
      </c>
      <c r="D28" s="3"/>
      <c r="E28" s="3"/>
      <c r="F28" s="3"/>
      <c r="G28" s="3"/>
    </row>
    <row r="30" spans="1:7" ht="19.5" customHeight="1" x14ac:dyDescent="0.3">
      <c r="A30" s="5" t="s">
        <v>122</v>
      </c>
      <c r="B30" s="5"/>
      <c r="C30" s="5"/>
      <c r="D30" s="5"/>
      <c r="E30" s="5"/>
      <c r="F30" s="5"/>
      <c r="G30" s="5"/>
    </row>
    <row r="31" spans="1:7" ht="31.5" customHeight="1" x14ac:dyDescent="0.3">
      <c r="B31" s="10" t="s">
        <v>123</v>
      </c>
      <c r="C31" s="3" t="s">
        <v>124</v>
      </c>
      <c r="D31" s="3"/>
      <c r="E31" s="3"/>
      <c r="F31" s="3"/>
      <c r="G31" s="3"/>
    </row>
    <row r="32" spans="1:7" ht="30" customHeight="1" x14ac:dyDescent="0.3">
      <c r="B32" s="10" t="s">
        <v>125</v>
      </c>
      <c r="C32" s="3" t="s">
        <v>126</v>
      </c>
      <c r="D32" s="3"/>
      <c r="E32" s="3"/>
      <c r="F32" s="3"/>
      <c r="G32" s="3"/>
    </row>
  </sheetData>
  <mergeCells count="32">
    <mergeCell ref="C32:G32"/>
    <mergeCell ref="A26:G26"/>
    <mergeCell ref="C27:G27"/>
    <mergeCell ref="C28:G28"/>
    <mergeCell ref="A30:G30"/>
    <mergeCell ref="C31:G31"/>
    <mergeCell ref="C22:D22"/>
    <mergeCell ref="E22:F22"/>
    <mergeCell ref="C23:D23"/>
    <mergeCell ref="E23:F23"/>
    <mergeCell ref="C24:D24"/>
    <mergeCell ref="E24:F24"/>
    <mergeCell ref="A19:G19"/>
    <mergeCell ref="C20:D20"/>
    <mergeCell ref="E20:F20"/>
    <mergeCell ref="C21:D21"/>
    <mergeCell ref="E21:F21"/>
    <mergeCell ref="C13:F13"/>
    <mergeCell ref="C14:F14"/>
    <mergeCell ref="C15:F15"/>
    <mergeCell ref="C16:F16"/>
    <mergeCell ref="C17:F17"/>
    <mergeCell ref="C7:G7"/>
    <mergeCell ref="C8:G8"/>
    <mergeCell ref="C9:G9"/>
    <mergeCell ref="A11:G11"/>
    <mergeCell ref="D12:G12"/>
    <mergeCell ref="A1:G1"/>
    <mergeCell ref="A2:G2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6" customWidth="1"/>
    <col min="3" max="3" width="90" customWidth="1"/>
  </cols>
  <sheetData>
    <row r="1" spans="1:3" ht="33.75" customHeight="1" x14ac:dyDescent="0.3">
      <c r="A1" s="7" t="s">
        <v>9</v>
      </c>
      <c r="B1" s="7"/>
      <c r="C1" s="7"/>
    </row>
    <row r="2" spans="1:3" ht="18" customHeight="1" x14ac:dyDescent="0.3">
      <c r="A2" s="6" t="s">
        <v>127</v>
      </c>
      <c r="B2" s="6"/>
      <c r="C2" s="6"/>
    </row>
    <row r="4" spans="1:3" ht="19.5" customHeight="1" x14ac:dyDescent="0.3">
      <c r="A4" s="5" t="s">
        <v>128</v>
      </c>
      <c r="B4" s="5"/>
      <c r="C4" s="5"/>
    </row>
    <row r="5" spans="1:3" ht="43.5" customHeight="1" x14ac:dyDescent="0.3">
      <c r="B5" s="10" t="s">
        <v>129</v>
      </c>
      <c r="C5" s="9" t="s">
        <v>130</v>
      </c>
    </row>
    <row r="6" spans="1:3" ht="57.75" customHeight="1" x14ac:dyDescent="0.3">
      <c r="B6" s="10" t="s">
        <v>131</v>
      </c>
      <c r="C6" s="9" t="s">
        <v>132</v>
      </c>
    </row>
    <row r="8" spans="1:3" ht="19.5" customHeight="1" x14ac:dyDescent="0.3">
      <c r="A8" s="5" t="s">
        <v>133</v>
      </c>
      <c r="B8" s="5"/>
      <c r="C8" s="5"/>
    </row>
    <row r="9" spans="1:3" ht="48" customHeight="1" x14ac:dyDescent="0.3">
      <c r="B9" s="10" t="s">
        <v>134</v>
      </c>
      <c r="C9" s="9" t="s">
        <v>135</v>
      </c>
    </row>
    <row r="10" spans="1:3" ht="42" customHeight="1" x14ac:dyDescent="0.3">
      <c r="B10" s="10" t="s">
        <v>136</v>
      </c>
      <c r="C10" s="9" t="s">
        <v>137</v>
      </c>
    </row>
    <row r="12" spans="1:3" ht="19.5" customHeight="1" x14ac:dyDescent="0.3">
      <c r="A12" s="5" t="s">
        <v>138</v>
      </c>
      <c r="B12" s="5"/>
      <c r="C12" s="5"/>
    </row>
    <row r="13" spans="1:3" ht="48" customHeight="1" x14ac:dyDescent="0.3">
      <c r="B13" s="10" t="s">
        <v>139</v>
      </c>
      <c r="C13" s="9" t="s">
        <v>140</v>
      </c>
    </row>
    <row r="15" spans="1:3" ht="19.5" customHeight="1" x14ac:dyDescent="0.3">
      <c r="A15" s="5" t="s">
        <v>141</v>
      </c>
      <c r="B15" s="5"/>
      <c r="C15" s="5"/>
    </row>
    <row r="16" spans="1:3" ht="33.75" customHeight="1" x14ac:dyDescent="0.3">
      <c r="B16" s="10" t="s">
        <v>142</v>
      </c>
      <c r="C16" s="9" t="s">
        <v>143</v>
      </c>
    </row>
    <row r="17" spans="1:3" ht="43.5" customHeight="1" x14ac:dyDescent="0.3">
      <c r="B17" s="10" t="s">
        <v>144</v>
      </c>
      <c r="C17" s="9" t="s">
        <v>145</v>
      </c>
    </row>
    <row r="19" spans="1:3" ht="19.5" customHeight="1" x14ac:dyDescent="0.3">
      <c r="A19" s="5" t="s">
        <v>146</v>
      </c>
      <c r="B19" s="5"/>
      <c r="C19" s="5"/>
    </row>
    <row r="20" spans="1:3" ht="48" customHeight="1" x14ac:dyDescent="0.3">
      <c r="B20" s="10" t="s">
        <v>147</v>
      </c>
      <c r="C20" s="9" t="s">
        <v>148</v>
      </c>
    </row>
    <row r="22" spans="1:3" ht="19.5" customHeight="1" x14ac:dyDescent="0.3">
      <c r="A22" s="5" t="s">
        <v>149</v>
      </c>
      <c r="B22" s="5"/>
      <c r="C22" s="5"/>
    </row>
    <row r="23" spans="1:3" ht="48" customHeight="1" x14ac:dyDescent="0.3">
      <c r="B23" s="10" t="s">
        <v>150</v>
      </c>
      <c r="C23" s="9" t="s">
        <v>151</v>
      </c>
    </row>
    <row r="25" spans="1:3" ht="19.5" customHeight="1" x14ac:dyDescent="0.3">
      <c r="A25" s="5" t="s">
        <v>152</v>
      </c>
      <c r="B25" s="5"/>
      <c r="C25" s="5"/>
    </row>
    <row r="26" spans="1:3" ht="39.75" customHeight="1" x14ac:dyDescent="0.3">
      <c r="B26" s="10" t="s">
        <v>153</v>
      </c>
      <c r="C26" s="9" t="s">
        <v>154</v>
      </c>
    </row>
    <row r="28" spans="1:3" ht="19.5" customHeight="1" x14ac:dyDescent="0.3">
      <c r="A28" s="5" t="s">
        <v>155</v>
      </c>
      <c r="B28" s="5"/>
      <c r="C28" s="5"/>
    </row>
    <row r="29" spans="1:3" ht="37.5" customHeight="1" x14ac:dyDescent="0.3">
      <c r="B29" s="10" t="s">
        <v>156</v>
      </c>
      <c r="C29" s="9" t="s">
        <v>157</v>
      </c>
    </row>
  </sheetData>
  <mergeCells count="10">
    <mergeCell ref="A15:C15"/>
    <mergeCell ref="A19:C19"/>
    <mergeCell ref="A22:C22"/>
    <mergeCell ref="A25:C25"/>
    <mergeCell ref="A28:C28"/>
    <mergeCell ref="A1:C1"/>
    <mergeCell ref="A2:C2"/>
    <mergeCell ref="A4:C4"/>
    <mergeCell ref="A8:C8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6" customWidth="1"/>
    <col min="3" max="3" width="90" customWidth="1"/>
  </cols>
  <sheetData>
    <row r="1" spans="1:3" ht="33.75" customHeight="1" x14ac:dyDescent="0.3">
      <c r="A1" s="7" t="s">
        <v>158</v>
      </c>
      <c r="B1" s="7"/>
      <c r="C1" s="7"/>
    </row>
    <row r="2" spans="1:3" ht="18" customHeight="1" x14ac:dyDescent="0.3">
      <c r="A2" s="6" t="s">
        <v>127</v>
      </c>
      <c r="B2" s="6"/>
      <c r="C2" s="6"/>
    </row>
    <row r="4" spans="1:3" ht="19.5" customHeight="1" x14ac:dyDescent="0.3">
      <c r="A4" s="5" t="s">
        <v>159</v>
      </c>
      <c r="B4" s="5"/>
      <c r="C4" s="5"/>
    </row>
    <row r="5" spans="1:3" ht="54" customHeight="1" x14ac:dyDescent="0.3">
      <c r="B5" s="10" t="s">
        <v>139</v>
      </c>
      <c r="C5" s="9" t="s">
        <v>160</v>
      </c>
    </row>
    <row r="7" spans="1:3" ht="19.5" customHeight="1" x14ac:dyDescent="0.3">
      <c r="A7" s="5" t="s">
        <v>161</v>
      </c>
      <c r="B7" s="5"/>
      <c r="C7" s="5"/>
    </row>
    <row r="8" spans="1:3" ht="31.5" customHeight="1" x14ac:dyDescent="0.3">
      <c r="B8" s="10" t="s">
        <v>162</v>
      </c>
      <c r="C8" s="9" t="s">
        <v>163</v>
      </c>
    </row>
    <row r="9" spans="1:3" ht="31.5" customHeight="1" x14ac:dyDescent="0.3">
      <c r="B9" s="10" t="s">
        <v>164</v>
      </c>
      <c r="C9" s="9" t="s">
        <v>165</v>
      </c>
    </row>
    <row r="10" spans="1:3" ht="31.5" customHeight="1" x14ac:dyDescent="0.3">
      <c r="B10" s="10" t="s">
        <v>166</v>
      </c>
      <c r="C10" s="9" t="s">
        <v>167</v>
      </c>
    </row>
    <row r="11" spans="1:3" ht="31.5" customHeight="1" x14ac:dyDescent="0.3">
      <c r="B11" s="10" t="s">
        <v>168</v>
      </c>
      <c r="C11" s="9" t="s">
        <v>169</v>
      </c>
    </row>
    <row r="13" spans="1:3" ht="19.5" customHeight="1" x14ac:dyDescent="0.3">
      <c r="A13" s="5" t="s">
        <v>170</v>
      </c>
      <c r="B13" s="5"/>
      <c r="C13" s="5"/>
    </row>
    <row r="14" spans="1:3" ht="33.75" customHeight="1" x14ac:dyDescent="0.3">
      <c r="B14" s="10" t="s">
        <v>171</v>
      </c>
      <c r="C14" s="9" t="s">
        <v>172</v>
      </c>
    </row>
    <row r="15" spans="1:3" ht="33.75" customHeight="1" x14ac:dyDescent="0.3">
      <c r="B15" s="10" t="s">
        <v>173</v>
      </c>
      <c r="C15" s="9" t="s">
        <v>174</v>
      </c>
    </row>
    <row r="16" spans="1:3" ht="33.75" customHeight="1" x14ac:dyDescent="0.3">
      <c r="B16" s="10" t="s">
        <v>175</v>
      </c>
      <c r="C16" s="9" t="s">
        <v>176</v>
      </c>
    </row>
    <row r="17" spans="1:3" ht="33.75" customHeight="1" x14ac:dyDescent="0.3">
      <c r="B17" s="10" t="s">
        <v>177</v>
      </c>
      <c r="C17" s="9" t="s">
        <v>178</v>
      </c>
    </row>
    <row r="18" spans="1:3" ht="33.75" customHeight="1" x14ac:dyDescent="0.3">
      <c r="B18" s="10" t="s">
        <v>179</v>
      </c>
      <c r="C18" s="9" t="s">
        <v>180</v>
      </c>
    </row>
    <row r="20" spans="1:3" ht="19.5" customHeight="1" x14ac:dyDescent="0.3">
      <c r="A20" s="5" t="s">
        <v>181</v>
      </c>
      <c r="B20" s="5"/>
      <c r="C20" s="5"/>
    </row>
    <row r="21" spans="1:3" ht="66" customHeight="1" x14ac:dyDescent="0.3">
      <c r="B21" s="10" t="s">
        <v>182</v>
      </c>
      <c r="C21" s="9" t="s">
        <v>183</v>
      </c>
    </row>
    <row r="23" spans="1:3" ht="19.5" customHeight="1" x14ac:dyDescent="0.3">
      <c r="A23" s="5" t="s">
        <v>184</v>
      </c>
      <c r="B23" s="5"/>
      <c r="C23" s="5"/>
    </row>
    <row r="24" spans="1:3" ht="42" customHeight="1" x14ac:dyDescent="0.3">
      <c r="B24" s="10" t="s">
        <v>185</v>
      </c>
      <c r="C24" s="9" t="s">
        <v>186</v>
      </c>
    </row>
    <row r="25" spans="1:3" ht="45.75" customHeight="1" x14ac:dyDescent="0.3">
      <c r="B25" s="10" t="s">
        <v>187</v>
      </c>
      <c r="C25" s="9" t="s">
        <v>188</v>
      </c>
    </row>
    <row r="27" spans="1:3" ht="19.5" customHeight="1" x14ac:dyDescent="0.3">
      <c r="A27" s="5" t="s">
        <v>189</v>
      </c>
      <c r="B27" s="5"/>
      <c r="C27" s="5"/>
    </row>
    <row r="28" spans="1:3" ht="54" customHeight="1" x14ac:dyDescent="0.3">
      <c r="B28" s="10" t="s">
        <v>190</v>
      </c>
      <c r="C28" s="9" t="s">
        <v>191</v>
      </c>
    </row>
    <row r="30" spans="1:3" ht="19.5" customHeight="1" x14ac:dyDescent="0.3">
      <c r="A30" s="5" t="s">
        <v>192</v>
      </c>
      <c r="B30" s="5"/>
      <c r="C30" s="5"/>
    </row>
    <row r="31" spans="1:3" ht="60" customHeight="1" x14ac:dyDescent="0.3">
      <c r="B31" s="10" t="s">
        <v>193</v>
      </c>
      <c r="C31" s="9" t="s">
        <v>194</v>
      </c>
    </row>
  </sheetData>
  <mergeCells count="9">
    <mergeCell ref="A20:C20"/>
    <mergeCell ref="A23:C23"/>
    <mergeCell ref="A27:C27"/>
    <mergeCell ref="A30:C30"/>
    <mergeCell ref="A1:C1"/>
    <mergeCell ref="A2:C2"/>
    <mergeCell ref="A4:C4"/>
    <mergeCell ref="A7:C7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12" customWidth="1"/>
    <col min="3" max="3" width="42" customWidth="1"/>
    <col min="4" max="4" width="24" customWidth="1"/>
    <col min="5" max="6" width="12" customWidth="1"/>
    <col min="7" max="7" width="14" customWidth="1"/>
    <col min="8" max="8" width="12" customWidth="1"/>
    <col min="9" max="9" width="40" customWidth="1"/>
  </cols>
  <sheetData>
    <row r="1" spans="1:9" ht="33.75" customHeight="1" x14ac:dyDescent="0.3">
      <c r="A1" s="7" t="s">
        <v>195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3">
      <c r="A2" s="6" t="s">
        <v>196</v>
      </c>
      <c r="B2" s="6"/>
      <c r="C2" s="6"/>
      <c r="D2" s="6"/>
      <c r="E2" s="6"/>
      <c r="F2" s="6"/>
      <c r="G2" s="6"/>
      <c r="H2" s="6"/>
      <c r="I2" s="6"/>
    </row>
    <row r="4" spans="1:9" ht="33.75" customHeight="1" x14ac:dyDescent="0.3">
      <c r="B4" s="8" t="s">
        <v>197</v>
      </c>
      <c r="C4" s="8" t="s">
        <v>198</v>
      </c>
      <c r="D4" s="8" t="s">
        <v>199</v>
      </c>
      <c r="E4" s="8" t="s">
        <v>200</v>
      </c>
      <c r="F4" s="8" t="s">
        <v>201</v>
      </c>
      <c r="G4" s="8" t="s">
        <v>202</v>
      </c>
      <c r="H4" s="8" t="s">
        <v>203</v>
      </c>
      <c r="I4" s="8" t="s">
        <v>204</v>
      </c>
    </row>
    <row r="5" spans="1:9" ht="45.75" customHeight="1" x14ac:dyDescent="0.3">
      <c r="B5" s="9" t="s">
        <v>205</v>
      </c>
      <c r="C5" s="9" t="s">
        <v>206</v>
      </c>
      <c r="D5" s="9" t="s">
        <v>207</v>
      </c>
      <c r="E5" s="11">
        <v>3</v>
      </c>
      <c r="F5" s="11">
        <v>5</v>
      </c>
      <c r="G5" s="15">
        <f t="shared" ref="G5:G12" si="0">E5*F5</f>
        <v>15</v>
      </c>
      <c r="H5" s="16" t="str">
        <f t="shared" ref="H5:H12" si="1">IF(G5&gt;=15,"High",IF(G5&gt;=8,"Medium","Low"))</f>
        <v>High</v>
      </c>
      <c r="I5" s="9" t="s">
        <v>208</v>
      </c>
    </row>
    <row r="6" spans="1:9" ht="45.75" customHeight="1" x14ac:dyDescent="0.3">
      <c r="B6" s="9" t="s">
        <v>209</v>
      </c>
      <c r="C6" s="9" t="s">
        <v>210</v>
      </c>
      <c r="D6" s="9" t="s">
        <v>211</v>
      </c>
      <c r="E6" s="11">
        <v>4</v>
      </c>
      <c r="F6" s="11">
        <v>4</v>
      </c>
      <c r="G6" s="15">
        <f t="shared" si="0"/>
        <v>16</v>
      </c>
      <c r="H6" s="16" t="str">
        <f t="shared" si="1"/>
        <v>High</v>
      </c>
      <c r="I6" s="9" t="s">
        <v>212</v>
      </c>
    </row>
    <row r="7" spans="1:9" ht="45.75" customHeight="1" x14ac:dyDescent="0.3">
      <c r="B7" s="9" t="s">
        <v>213</v>
      </c>
      <c r="C7" s="9" t="s">
        <v>214</v>
      </c>
      <c r="D7" s="9" t="s">
        <v>215</v>
      </c>
      <c r="E7" s="11">
        <v>2</v>
      </c>
      <c r="F7" s="11">
        <v>5</v>
      </c>
      <c r="G7" s="15">
        <f t="shared" si="0"/>
        <v>10</v>
      </c>
      <c r="H7" s="16" t="str">
        <f t="shared" si="1"/>
        <v>Medium</v>
      </c>
      <c r="I7" s="9" t="s">
        <v>216</v>
      </c>
    </row>
    <row r="8" spans="1:9" ht="45.75" customHeight="1" x14ac:dyDescent="0.3">
      <c r="B8" s="9" t="s">
        <v>217</v>
      </c>
      <c r="C8" s="9" t="s">
        <v>218</v>
      </c>
      <c r="D8" s="9" t="s">
        <v>215</v>
      </c>
      <c r="E8" s="11">
        <v>2</v>
      </c>
      <c r="F8" s="11">
        <v>5</v>
      </c>
      <c r="G8" s="15">
        <f t="shared" si="0"/>
        <v>10</v>
      </c>
      <c r="H8" s="16" t="str">
        <f t="shared" si="1"/>
        <v>Medium</v>
      </c>
      <c r="I8" s="9" t="s">
        <v>219</v>
      </c>
    </row>
    <row r="9" spans="1:9" ht="45.75" customHeight="1" x14ac:dyDescent="0.3">
      <c r="B9" s="9" t="s">
        <v>220</v>
      </c>
      <c r="C9" s="9" t="s">
        <v>221</v>
      </c>
      <c r="D9" s="9" t="s">
        <v>215</v>
      </c>
      <c r="E9" s="11">
        <v>3</v>
      </c>
      <c r="F9" s="11">
        <v>4</v>
      </c>
      <c r="G9" s="15">
        <f t="shared" si="0"/>
        <v>12</v>
      </c>
      <c r="H9" s="16" t="str">
        <f t="shared" si="1"/>
        <v>Medium</v>
      </c>
      <c r="I9" s="9" t="s">
        <v>222</v>
      </c>
    </row>
    <row r="10" spans="1:9" ht="45.75" customHeight="1" x14ac:dyDescent="0.3">
      <c r="B10" s="9" t="s">
        <v>223</v>
      </c>
      <c r="C10" s="9" t="s">
        <v>224</v>
      </c>
      <c r="D10" s="9" t="s">
        <v>225</v>
      </c>
      <c r="E10" s="11">
        <v>3</v>
      </c>
      <c r="F10" s="11">
        <v>3</v>
      </c>
      <c r="G10" s="15">
        <f t="shared" si="0"/>
        <v>9</v>
      </c>
      <c r="H10" s="16" t="str">
        <f t="shared" si="1"/>
        <v>Medium</v>
      </c>
      <c r="I10" s="9" t="s">
        <v>226</v>
      </c>
    </row>
    <row r="11" spans="1:9" ht="45.75" customHeight="1" x14ac:dyDescent="0.3">
      <c r="B11" s="9" t="s">
        <v>227</v>
      </c>
      <c r="C11" s="9" t="s">
        <v>228</v>
      </c>
      <c r="D11" s="9" t="s">
        <v>229</v>
      </c>
      <c r="E11" s="11">
        <v>3</v>
      </c>
      <c r="F11" s="11">
        <v>2</v>
      </c>
      <c r="G11" s="15">
        <f t="shared" si="0"/>
        <v>6</v>
      </c>
      <c r="H11" s="16" t="str">
        <f t="shared" si="1"/>
        <v>Low</v>
      </c>
      <c r="I11" s="9" t="s">
        <v>230</v>
      </c>
    </row>
    <row r="12" spans="1:9" ht="45.75" customHeight="1" x14ac:dyDescent="0.3">
      <c r="B12" s="9" t="s">
        <v>231</v>
      </c>
      <c r="C12" s="9" t="s">
        <v>232</v>
      </c>
      <c r="D12" s="9" t="s">
        <v>233</v>
      </c>
      <c r="E12" s="11">
        <v>2</v>
      </c>
      <c r="F12" s="11">
        <v>3</v>
      </c>
      <c r="G12" s="15">
        <f t="shared" si="0"/>
        <v>6</v>
      </c>
      <c r="H12" s="16" t="str">
        <f t="shared" si="1"/>
        <v>Low</v>
      </c>
      <c r="I12" s="9" t="s">
        <v>234</v>
      </c>
    </row>
    <row r="14" spans="1:9" ht="42" customHeight="1" x14ac:dyDescent="0.3">
      <c r="B14" s="10" t="s">
        <v>235</v>
      </c>
      <c r="C14" s="3" t="s">
        <v>236</v>
      </c>
      <c r="D14" s="3"/>
      <c r="E14" s="3"/>
      <c r="F14" s="3"/>
      <c r="G14" s="3"/>
      <c r="H14" s="3"/>
      <c r="I14" s="3"/>
    </row>
  </sheetData>
  <mergeCells count="3">
    <mergeCell ref="A1:I1"/>
    <mergeCell ref="A2:I2"/>
    <mergeCell ref="C14:I14"/>
  </mergeCells>
  <conditionalFormatting sqref="H5:H12">
    <cfRule type="expression" dxfId="2" priority="2">
      <formula>H5="High"</formula>
    </cfRule>
    <cfRule type="expression" dxfId="1" priority="3">
      <formula>H5="Medium"</formula>
    </cfRule>
    <cfRule type="expression" dxfId="0" priority="4">
      <formula>H5="Low"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Test Charters</vt:lpstr>
      <vt:lpstr>Session Notes</vt:lpstr>
      <vt:lpstr>Test Plan</vt:lpstr>
      <vt:lpstr>Test Strategy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sky</cp:lastModifiedBy>
  <cp:revision>0</cp:revision>
  <dcterms:created xsi:type="dcterms:W3CDTF">2026-09-22T12:48:53Z</dcterms:created>
  <dcterms:modified xsi:type="dcterms:W3CDTF">2026-09-22T13:03:09Z</dcterms:modified>
  <dc:language>en-US</dc:language>
</cp:coreProperties>
</file>