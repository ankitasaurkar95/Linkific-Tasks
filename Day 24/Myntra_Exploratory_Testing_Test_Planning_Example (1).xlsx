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Test Charters" sheetId="2" state="visible" r:id="rId4"/>
    <sheet name="Session Notes" sheetId="3" state="visible" r:id="rId5"/>
    <sheet name="Test Plan" sheetId="4" state="visible" r:id="rId6"/>
    <sheet name="Test Strategy" sheetId="5" state="visible" r:id="rId7"/>
    <sheet name="Risk Matrix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<sst xmlns="http://schemas.openxmlformats.org/spreadsheetml/2006/main" count="247" uniqueCount="240">
  <si>
    <t xml:space="preserve">Exploratory Testing &amp; Test Planning — Worked Example</t>
  </si>
  <si>
    <t xml:space="preserve">Case: Myntra — Product Search, Cart &amp; Checkout flow</t>
  </si>
  <si>
    <t xml:space="preserve">How this workbook maps to the learning objectives</t>
  </si>
  <si>
    <t xml:space="preserve">Learning objective</t>
  </si>
  <si>
    <t xml:space="preserve">Where to look</t>
  </si>
  <si>
    <t xml:space="preserve">Test Charters</t>
  </si>
  <si>
    <t xml:space="preserve">Sheet: Test Charters — SBTM missions for search/filter, cart, and checkout on the Myntra app, ready to run as 90-min sessions.</t>
  </si>
  <si>
    <t xml:space="preserve">Exploratory Session Notes</t>
  </si>
  <si>
    <t xml:space="preserve">Sheet: Session Notes — A completed 2-hour exploratory session log (tours, personas, bugs, questions, risks).</t>
  </si>
  <si>
    <t xml:space="preserve">Test Plan</t>
  </si>
  <si>
    <t xml:space="preserve">Sheet: Test Plan — A full test plan — objectives, scope, strategy, entry/exit criteria, schedule, deliverables.</t>
  </si>
  <si>
    <t xml:space="preserve">Test Strategy</t>
  </si>
  <si>
    <t xml:space="preserve">Sheet: Test Strategy — Overall approach, test levels/types, tools, automation strategy, defect management.</t>
  </si>
  <si>
    <t xml:space="preserve">Risk-Based Testing</t>
  </si>
  <si>
    <t xml:space="preserve">Sheet: Risk Matrix — Risk identification, scoring (probability x impact) and prioritisation — formula-driven.</t>
  </si>
  <si>
    <t xml:space="preserve">Scenario used throughout</t>
  </si>
  <si>
    <t xml:space="preserve">Myntra is a fashion e-commerce app. The team is releasing an update touching Product Search &amp; Filters, Bag (Cart), Coupons/Offers, and Checkout &amp; Payment (incl. Cash on Delivery and UPI). This is a realistic, high-traffic, revenue-critical area — good for practising exploratory testing, charters, risk-based planning and a full test plan/strategy.</t>
  </si>
  <si>
    <t xml:space="preserve">Session-Based Test Charters (SBTM)</t>
  </si>
  <si>
    <t xml:space="preserve">Mission-based charters for 90-minute time-boxed sessions — Myntra Search, Bag &amp; Checkout</t>
  </si>
  <si>
    <t xml:space="preserve">Charter ID</t>
  </si>
  <si>
    <t xml:space="preserve">Mission (Explore ... Using ... To discover ...)</t>
  </si>
  <si>
    <t xml:space="preserve">Areas / Features</t>
  </si>
  <si>
    <t xml:space="preserve">Resources needed</t>
  </si>
  <si>
    <t xml:space="preserve">Risks / Issues to look for</t>
  </si>
  <si>
    <t xml:space="preserve">Time-box</t>
  </si>
  <si>
    <t xml:space="preserve">CH-01</t>
  </si>
  <si>
    <t xml:space="preserve">Explore Product Search &amp; Filters using varied search terms (misspellings, brand names, size/colour filters) to discover irrelevant results or broken filter combinations</t>
  </si>
  <si>
    <t xml:space="preserve">Search bar, autosuggest, filter panel (size/price/brand/discount), sort</t>
  </si>
  <si>
    <t xml:space="preserve">Test device (Android + iOS), catalog with known SKUs, network throttling tool</t>
  </si>
  <si>
    <t xml:space="preserve">Autosuggest showing out-of-stock items, filters not combining correctly (e.g. size + discount), sort order not persisting after filter change</t>
  </si>
  <si>
    <t xml:space="preserve">90 min</t>
  </si>
  <si>
    <t xml:space="preserve">CH-02</t>
  </si>
  <si>
    <t xml:space="preserve">Explore the Bag (cart) using multiple size/colour variants and quantity edge cases to discover pricing or stock-sync issues</t>
  </si>
  <si>
    <t xml:space="preserve">Add to bag, Edit size/qty, Remove item, Save for later, Wishlist-to-bag</t>
  </si>
  <si>
    <t xml:space="preserve">Test accounts, products with limited stock, products on flash sale</t>
  </si>
  <si>
    <t xml:space="preserve">Price not updating after coupon removal, stock oversell (item goes out of stock mid-session but stays in bag), 'Save for later' losing selected size</t>
  </si>
  <si>
    <t xml:space="preserve">CH-03</t>
  </si>
  <si>
    <t xml:space="preserve">Explore Coupons &amp; Offers using stacked/expired/invalid codes and edge-case cart values to discover discount-calculation errors</t>
  </si>
  <si>
    <t xml:space="preserve">Apply coupon, Auto-applied offers, Bank offer banners, Cart total recalculation</t>
  </si>
  <si>
    <t xml:space="preserve">List of active/expired coupon codes, cart with mixed sale + full-price items</t>
  </si>
  <si>
    <t xml:space="preserve">Discount applied on already-discounted items twice, expired coupon still accepted, coupon value exceeding cart total causing negative payable amount</t>
  </si>
  <si>
    <t xml:space="preserve">CH-04</t>
  </si>
  <si>
    <t xml:space="preserve">Explore Checkout &amp; Payment (COD, UPI, card) as a first-time app user (persona) on a slow network to discover confusing steps or payment-state issues</t>
  </si>
  <si>
    <t xml:space="preserve">Address selection/add, Payment method selection, Order confirmation, Order failure/retry</t>
  </si>
  <si>
    <t xml:space="preserve">Persona notes, throttled network, test UPI handle, test card, screen recorder</t>
  </si>
  <si>
    <t xml:space="preserve">Unclear pending-payment state, duplicate order created on retry after timeout, address form losing data on back navigation</t>
  </si>
  <si>
    <t xml:space="preserve">60 min</t>
  </si>
  <si>
    <t xml:space="preserve">CH-05</t>
  </si>
  <si>
    <t xml:space="preserve">Explore Order placed under interrupted conditions (app backgrounded, network dropped mid-payment) to discover duplicate charges or lost orders</t>
  </si>
  <si>
    <t xml:space="preserve">Payment submission, Order confirmation, Order history/tracking</t>
  </si>
  <si>
    <t xml:space="preserve">Two devices/network toggle, transaction log or order-history access</t>
  </si>
  <si>
    <t xml:space="preserve">Payment debited but order not created, duplicate order on app relaunch, order status stuck on 'Processing' indefinitely</t>
  </si>
  <si>
    <t xml:space="preserve">Charter techniques used (for reference)</t>
  </si>
  <si>
    <t xml:space="preserve">Technique</t>
  </si>
  <si>
    <t xml:space="preserve">How it's applied above</t>
  </si>
  <si>
    <t xml:space="preserve">Feature tour</t>
  </si>
  <si>
    <t xml:space="preserve">CH-01, CH-02 — walk each feature end to end across variants (filters, sizes, quantities).</t>
  </si>
  <si>
    <t xml:space="preserve">Complexity tour</t>
  </si>
  <si>
    <t xml:space="preserve">CH-03, CH-05 — target trickiest logic: discount stacking, interrupted payment state.</t>
  </si>
  <si>
    <t xml:space="preserve">Persona</t>
  </si>
  <si>
    <t xml:space="preserve">CH-04 — think like a nervous first-time shopper on a weak connection, not a QA engineer.</t>
  </si>
  <si>
    <t xml:space="preserve">Attack pattern</t>
  </si>
  <si>
    <t xml:space="preserve">CH-03, CH-05 — invalid/expired codes, cart-total edge cases, dropped connections, retries.</t>
  </si>
  <si>
    <t xml:space="preserve">Heuristic (SFDIPOT)</t>
  </si>
  <si>
    <t xml:space="preserve">Structure, Function, Data, Interface, Platform, Operations, Time — used to design CH-01 through CH-05 so all angles are covered.</t>
  </si>
  <si>
    <t xml:space="preserve">Exploratory Session Notes (SBTM Debrief)</t>
  </si>
  <si>
    <t xml:space="preserve">Completed 2-hour session covering CH-02 and CH-03 — Myntra Bag &amp; Coupons</t>
  </si>
  <si>
    <t xml:space="preserve">Session ID</t>
  </si>
  <si>
    <t xml:space="preserve">SESS-2026-09-22-01</t>
  </si>
  <si>
    <t xml:space="preserve">Charters covered</t>
  </si>
  <si>
    <t xml:space="preserve">CH-02, CH-03</t>
  </si>
  <si>
    <t xml:space="preserve">Tester</t>
  </si>
  <si>
    <t xml:space="preserve">R. Sharma</t>
  </si>
  <si>
    <t xml:space="preserve">Date</t>
  </si>
  <si>
    <t xml:space="preserve">22-Sep-2026</t>
  </si>
  <si>
    <t xml:space="preserve">Duration</t>
  </si>
  <si>
    <t xml:space="preserve">2 hours (2 x 60-min sub-sessions)</t>
  </si>
  <si>
    <t xml:space="preserve">Environment</t>
  </si>
  <si>
    <t xml:space="preserve">Staging (Android app v9.4), iOS Safari web, 3 test accounts, End-of-Season-Sale catalog</t>
  </si>
  <si>
    <t xml:space="preserve">Session breakdown</t>
  </si>
  <si>
    <t xml:space="preserve">Time</t>
  </si>
  <si>
    <t xml:space="preserve">Activity (setup / test design / execution / bug investigation)</t>
  </si>
  <si>
    <t xml:space="preserve">% of session</t>
  </si>
  <si>
    <t xml:space="preserve">0:00–0:10</t>
  </si>
  <si>
    <t xml:space="preserve">Setup: prepared test accounts, added mixed sale + full-price items, listed active/expired coupons</t>
  </si>
  <si>
    <t xml:space="preserve">8%</t>
  </si>
  <si>
    <t xml:space="preserve">0:10–0:50</t>
  </si>
  <si>
    <t xml:space="preserve">Test design + execution: CH-02 bag edge cases (size/qty changes, stock-out mid-session)</t>
  </si>
  <si>
    <t xml:space="preserve">33%</t>
  </si>
  <si>
    <t xml:space="preserve">0:50–1:05</t>
  </si>
  <si>
    <t xml:space="preserve">Bug investigation: stock oversell issue (see BUG-201)</t>
  </si>
  <si>
    <t xml:space="preserve">13%</t>
  </si>
  <si>
    <t xml:space="preserve">1:05–1:50</t>
  </si>
  <si>
    <t xml:space="preserve">Test design + execution: CH-03 coupon stacking and expired-code checks</t>
  </si>
  <si>
    <t xml:space="preserve">37%</t>
  </si>
  <si>
    <t xml:space="preserve">1:50–2:00</t>
  </si>
  <si>
    <t xml:space="preserve">Notes clean-up and debrief prep</t>
  </si>
  <si>
    <t xml:space="preserve">9%</t>
  </si>
  <si>
    <t xml:space="preserve">Bugs found</t>
  </si>
  <si>
    <t xml:space="preserve">Bug ID</t>
  </si>
  <si>
    <t xml:space="preserve">Description</t>
  </si>
  <si>
    <t xml:space="preserve">Steps / Where found</t>
  </si>
  <si>
    <t xml:space="preserve">Severity</t>
  </si>
  <si>
    <t xml:space="preserve">BUG-201</t>
  </si>
  <si>
    <t xml:space="preserve">Item stays in bag at old price after it goes out of stock and is later restocked at a higher price</t>
  </si>
  <si>
    <t xml:space="preserve">Add item to bag &gt; simulate stock-out (backend) &gt; restock at new price &gt; proceed to checkout (Android app)</t>
  </si>
  <si>
    <t xml:space="preserve">High</t>
  </si>
  <si>
    <t xml:space="preserve">BUG-202</t>
  </si>
  <si>
    <t xml:space="preserve">An expired coupon code ('EOSS10', expired yesterday) is still accepted and applies the discount</t>
  </si>
  <si>
    <t xml:space="preserve">Bag &gt; Apply coupon &gt; enter expired code 'EOSS10' &gt; Apply (iOS Safari web)</t>
  </si>
  <si>
    <t xml:space="preserve">Critical</t>
  </si>
  <si>
    <t xml:space="preserve">BUG-203</t>
  </si>
  <si>
    <t xml:space="preserve">Removing an auto-applied bank offer does not recalculate the payable total shown on the summary tile</t>
  </si>
  <si>
    <t xml:space="preserve">Bag with bank offer auto-applied &gt; remove payment method that qualified for offer (Android app)</t>
  </si>
  <si>
    <t xml:space="preserve">Medium</t>
  </si>
  <si>
    <t xml:space="preserve">BUG-204</t>
  </si>
  <si>
    <t xml:space="preserve">'Save for later' loses the selected size, reverting to 'Select size' when moved back to bag</t>
  </si>
  <si>
    <t xml:space="preserve">Bag &gt; Save item for later &gt; Move to bag again</t>
  </si>
  <si>
    <t xml:space="preserve">Low</t>
  </si>
  <si>
    <t xml:space="preserve">Areas covered / not covered</t>
  </si>
  <si>
    <t xml:space="preserve">Covered</t>
  </si>
  <si>
    <t xml:space="preserve">Bag edit/remove/save-for-later on Android; coupon apply/stack/expired scenarios on iOS Safari web; stock-sync between bag and catalog</t>
  </si>
  <si>
    <t xml:space="preserve">Not covered</t>
  </si>
  <si>
    <t xml:space="preserve">Checkout/payment (planned CH-04 session), wishlist-to-bag flow, gift wrap add-on, international/NRI checkout</t>
  </si>
  <si>
    <t xml:space="preserve">Questions raised / Risk areas identified</t>
  </si>
  <si>
    <t xml:space="preserve">Open questions</t>
  </si>
  <si>
    <t xml:space="preserve">Should an item's price be locked at add-to-bag time or always reflect live catalog price? Confirm pricing rule with Product. Is coupon expiry validated server-side or only in the promo-code metadata cache?</t>
  </si>
  <si>
    <t xml:space="preserve">Risk areas flagged</t>
  </si>
  <si>
    <t xml:space="preserve">Coupon expiry check (BUG-202) suggests server-side validation may be relying on a stale cache — needs a focused session with backend/API testing before EOSS goes live</t>
  </si>
  <si>
    <t xml:space="preserve">Myntra — Search, Bag, Coupons &amp; Checkout Release 9.4</t>
  </si>
  <si>
    <t xml:space="preserve">1. Introduction &amp; Objectives</t>
  </si>
  <si>
    <t xml:space="preserve">Purpose</t>
  </si>
  <si>
    <t xml:space="preserve">Verify that Product Search &amp; Filters, Bag, Coupons/Offers, and Checkout &amp; Payment work correctly, accurately (pricing/discounts) and reliably for Release 9.4, ahead of the End-of-Season-Sale traffic spike.</t>
  </si>
  <si>
    <t xml:space="preserve">Objectives</t>
  </si>
  <si>
    <t xml:space="preserve">1) Confirm functional correctness of search, filter, bag and checkout flows. 2) Confirm pricing/discount calculations are always correct, including edge cases. 3) Confirm usability across Android/iOS/web. 4) Surface high-risk defects early via exploratory testing, alongside scripted regression.</t>
  </si>
  <si>
    <t xml:space="preserve">2. Scope</t>
  </si>
  <si>
    <t xml:space="preserve">In scope</t>
  </si>
  <si>
    <t xml:space="preserve">Search &amp; autosuggest, filters &amp; sort, Bag (add/edit/remove/save-for-later), coupons &amp; auto-applied offers, address selection, payment (COD, UPI, card, wallet), order confirmation, order tracking (status only).</t>
  </si>
  <si>
    <t xml:space="preserve">Out of scope</t>
  </si>
  <si>
    <t xml:space="preserve">Seller/merchant dashboard, returns &amp; refunds processing (separate test plan), international/NRI checkout, gift cards, customer support chat.</t>
  </si>
  <si>
    <t xml:space="preserve">3. Test Strategy (summary)</t>
  </si>
  <si>
    <t xml:space="preserve">Approach</t>
  </si>
  <si>
    <t xml:space="preserve">Risk-based combination of scripted functional/regression testing (critical revenue paths, see Test Strategy sheet) and session-based exploratory testing (charters, see Test Charters sheet) for usability, edge cases and pricing/stock-sync gaps.</t>
  </si>
  <si>
    <t xml:space="preserve">4. Resources &amp; Schedule</t>
  </si>
  <si>
    <t xml:space="preserve">Team</t>
  </si>
  <si>
    <t xml:space="preserve">1 Test Lead, 3 Manual/Exploratory Testers (Android/iOS/Web), 1 Automation Engineer (shared), 1 Backend/API tester (part-time, pricing &amp; coupon service).</t>
  </si>
  <si>
    <t xml:space="preserve">Schedule</t>
  </si>
  <si>
    <t xml:space="preserve">Test design: Days 1-2. Scripted execution: Days 3-5. Exploratory sessions: Days 3-6 (2 sessions/day). Regression + retest: Days 6-7. Sign-off: Day 8, ahead of EOSS go-live.</t>
  </si>
  <si>
    <t xml:space="preserve">5. Entry Criteria</t>
  </si>
  <si>
    <t xml:space="preserve">Entry</t>
  </si>
  <si>
    <t xml:space="preserve">Build deployed to staging and smoke-tested; test catalog with sale + full-price SKUs provisioned; coupon codes (valid/expired) seeded; test cases and charters reviewed; no P1/Blocker defects open from prior build.</t>
  </si>
  <si>
    <t xml:space="preserve">6. Exit Criteria</t>
  </si>
  <si>
    <t xml:space="preserve">Exit</t>
  </si>
  <si>
    <t xml:space="preserve">100% of planned scripted test cases executed; 0 open Critical/High defects; all exploratory charters for in-scope areas completed with debrief notes; Medium/Low defects triaged and either fixed or accepted by Product Owner.</t>
  </si>
  <si>
    <t xml:space="preserve">7. Deliverables</t>
  </si>
  <si>
    <t xml:space="preserve">Deliverables</t>
  </si>
  <si>
    <t xml:space="preserve">Test plan (this document), test charters and session notes, executed test cases, defect reports, risk matrix, test summary report, sign-off email.</t>
  </si>
  <si>
    <t xml:space="preserve">8. Risks &amp; Mitigation</t>
  </si>
  <si>
    <t xml:space="preserve">Risks</t>
  </si>
  <si>
    <t xml:space="preserve">See 'Risk Matrix' sheet for the full risk register with probability, impact and mitigation per risk (e.g. coupon-expiry bypass, stock/price sync, duplicate order on payment retry).</t>
  </si>
  <si>
    <t xml:space="preserve">Test Strategy Document</t>
  </si>
  <si>
    <t xml:space="preserve">Overall Testing Approach</t>
  </si>
  <si>
    <t xml:space="preserve">Blend scripted testing for known, high-value, repeatable paths (pricing calculations, payment flows, order creation) with session-based exploratory testing for discovery of unknown issues, usability problems and stock/price edge cases — see 'When to use exploratory' below.</t>
  </si>
  <si>
    <t xml:space="preserve">Test Levels</t>
  </si>
  <si>
    <t xml:space="preserve">Unit</t>
  </si>
  <si>
    <t xml:space="preserve">Developers — covers discount-calculation logic, filter/sort logic (automated, CI).</t>
  </si>
  <si>
    <t xml:space="preserve">Integration</t>
  </si>
  <si>
    <t xml:space="preserve">Automation Engineer — API contracts between Catalog, Bag, Coupon and Payment services.</t>
  </si>
  <si>
    <t xml:space="preserve">System</t>
  </si>
  <si>
    <t xml:space="preserve">QA team — end-to-end scripted + exploratory, as in this workbook.</t>
  </si>
  <si>
    <t xml:space="preserve">UAT</t>
  </si>
  <si>
    <t xml:space="preserve">Business/Category stakeholders — sign off against real EOSS shopping scenarios.</t>
  </si>
  <si>
    <t xml:space="preserve">Types of Testing</t>
  </si>
  <si>
    <t xml:space="preserve">Functional</t>
  </si>
  <si>
    <t xml:space="preserve">Search/filter, bag, coupon, checkout, payment — scripted test cases against requirements.</t>
  </si>
  <si>
    <t xml:space="preserve">Exploratory</t>
  </si>
  <si>
    <t xml:space="preserve">Charter-driven sessions (see Test Charters sheet) for usability, edge cases, pricing/stock gaps.</t>
  </si>
  <si>
    <t xml:space="preserve">Security</t>
  </si>
  <si>
    <t xml:space="preserve">Payment data handling, coupon abuse (stacking/expired), address/PII protection.</t>
  </si>
  <si>
    <t xml:space="preserve">Compatibility</t>
  </si>
  <si>
    <t xml:space="preserve">Android app, iOS app, mobile web (Safari/Chrome); low-end devices and slow networks.</t>
  </si>
  <si>
    <t xml:space="preserve">Performance</t>
  </si>
  <si>
    <t xml:space="preserve">Search/filter response time and checkout throughput under EOSS-level concurrent load (non-functional, separate NFR plan).</t>
  </si>
  <si>
    <t xml:space="preserve">When to Use Exploratory (vs Scripted)</t>
  </si>
  <si>
    <t xml:space="preserve">Guidance</t>
  </si>
  <si>
    <t xml:space="preserve">Use exploratory testing for new/changed features (first pass), ambiguous pricing/discount rules, usability judgement, and hunting for edge cases scripted tests won't anticipate (e.g. stock changing mid-session). Use scripted testing for regression, revenue-critical calculations, and anything needing repeatable, auditable evidence. The two complement each other — exploratory findings become new scripted regression cases (e.g. BUG-202 becomes a permanent expired-coupon test case).</t>
  </si>
  <si>
    <t xml:space="preserve">Tools &amp; Techniques</t>
  </si>
  <si>
    <t xml:space="preserve">Tools</t>
  </si>
  <si>
    <t xml:space="preserve">Test management: session charter sheet (this workbook) / SBTM notes. Defect tracking: Jira. Automation: Appium (mobile) + Playwright (web) for regression suite. Devices: BrowserStack App Live / Device Farm for cross-device coverage.</t>
  </si>
  <si>
    <t xml:space="preserve">Techniques</t>
  </si>
  <si>
    <t xml:space="preserve">Tours (feature, complexity), Personas (first-time shopper, bargain hunter, power user), Attack patterns (expired/stacked coupons, stock-out timing, interrupted payment), Heuristics (SFDIPOT), Risk-based prioritisation (see Risk Matrix).</t>
  </si>
  <si>
    <t xml:space="preserve">Automation Strategy</t>
  </si>
  <si>
    <t xml:space="preserve">Strategy</t>
  </si>
  <si>
    <t xml:space="preserve">Automate stable, high-value regression paths after they've been validated manually/exploratorily at least once (e.g. standard search, standard checkout with COD/UPI). Do not automate exploratory sessions — their value is human judgement and adaptability. New exploratory bugs get added to the automated suite once fixed, to prevent regression before the next sale event.</t>
  </si>
  <si>
    <t xml:space="preserve">Defect Management</t>
  </si>
  <si>
    <t xml:space="preserve">Process</t>
  </si>
  <si>
    <t xml:space="preserve">Log in Jira with: steps to reproduce, environment (device/OS/app version), severity, evidence (screenshot/recording), linked charter/test case ID. Triage daily during active test cycle, twice daily in EOSS crunch week. Severity: Critical = payment/order-creation failure or security issue; High = feature broken, no workaround; Medium = feature impaired, workaround exists; Low = cosmetic.</t>
  </si>
  <si>
    <t xml:space="preserve">Risk-Based Testing — Risk Matrix</t>
  </si>
  <si>
    <t xml:space="preserve">Probability x Impact = Risk Score. Score &gt;=15 = High priority, 8-14 = Medium, &lt;8 = Low</t>
  </si>
  <si>
    <t xml:space="preserve">Risk ID</t>
  </si>
  <si>
    <t xml:space="preserve">Risk description</t>
  </si>
  <si>
    <t xml:space="preserve">Area</t>
  </si>
  <si>
    <t xml:space="preserve">Probability (1-5)</t>
  </si>
  <si>
    <t xml:space="preserve">Impact (1-5)</t>
  </si>
  <si>
    <t xml:space="preserve">Risk score</t>
  </si>
  <si>
    <t xml:space="preserve">Priority</t>
  </si>
  <si>
    <t xml:space="preserve">Mitigation / Test focus</t>
  </si>
  <si>
    <t xml:space="preserve">R-01</t>
  </si>
  <si>
    <t xml:space="preserve">Expired or invalid coupon codes are still accepted, causing revenue loss at scale during sale events</t>
  </si>
  <si>
    <t xml:space="preserve">Coupons/Offers</t>
  </si>
  <si>
    <t xml:space="preserve">Dedicated coupon exploratory session (CH-03); add server-side expiry validation regression tests</t>
  </si>
  <si>
    <t xml:space="preserve">R-02</t>
  </si>
  <si>
    <t xml:space="preserve">Item price/stock shown in bag does not match live catalog after a flash-sale price change</t>
  </si>
  <si>
    <t xml:space="preserve">Bag/Pricing</t>
  </si>
  <si>
    <t xml:space="preserve">Boundary-value exploratory session (CH-02); automate a price/stock-sync regression check</t>
  </si>
  <si>
    <t xml:space="preserve">R-03</t>
  </si>
  <si>
    <t xml:space="preserve">Payment debited but order not created due to a dropped connection or app backgrounding mid-payment</t>
  </si>
  <si>
    <t xml:space="preserve">Checkout/Payment</t>
  </si>
  <si>
    <t xml:space="preserve">Network-interruption exploratory session (CH-05); idempotency check in payment/order API integration tests</t>
  </si>
  <si>
    <t xml:space="preserve">R-04</t>
  </si>
  <si>
    <t xml:space="preserve">Duplicate order created when user retries payment after a timeout</t>
  </si>
  <si>
    <t xml:space="preserve">Covered via CH-04/CH-05; add idempotency-key regression test at API level</t>
  </si>
  <si>
    <t xml:space="preserve">R-05</t>
  </si>
  <si>
    <t xml:space="preserve">Search/filter combinations return incorrect or irrelevant results (e.g. size + discount filter)</t>
  </si>
  <si>
    <t xml:space="preserve">Search/Filters</t>
  </si>
  <si>
    <t xml:space="preserve">Cross-filter exploratory pass (CH-01); scripted regression matrix for common filter combinations</t>
  </si>
  <si>
    <t xml:space="preserve">R-06</t>
  </si>
  <si>
    <t xml:space="preserve">Confusing checkout copy or unclear pending-payment state leads first-time users to abandon or retry unnecessarily</t>
  </si>
  <si>
    <t xml:space="preserve">Usability/Checkout</t>
  </si>
  <si>
    <t xml:space="preserve">Persona-based session (CH-04); usability review with Product/UX</t>
  </si>
  <si>
    <t xml:space="preserve">R-07</t>
  </si>
  <si>
    <t xml:space="preserve">'Save for later' or wishlist actions lose selected size/colour variant</t>
  </si>
  <si>
    <t xml:space="preserve">Bag/Wishlist</t>
  </si>
  <si>
    <t xml:space="preserve">Scripted regression cases for variant persistence; covered incidentally in CH-02 debrief (BUG-204)</t>
  </si>
  <si>
    <t xml:space="preserve">R-08</t>
  </si>
  <si>
    <t xml:space="preserve">Staging environment or catalog data instability delays test execution ahead of EOSS launch</t>
  </si>
  <si>
    <t xml:space="preserve">Environment/Process</t>
  </si>
  <si>
    <t xml:space="preserve">Daily environment/catalog health-check before sessions; escalation path to DevOps agreed up front</t>
  </si>
  <si>
    <t xml:space="preserve">Scoring legend</t>
  </si>
  <si>
    <t xml:space="preserve">Probability &amp; Impact scored 1 (very low) to 5 (very high). Risk score = Probability x Impact. High priority (&gt;=15) risks get exploratory + scripted coverage; Medium (8-14) get scripted coverage; Low (&lt;8) are monitored and covered opportunistically.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</si>
</sst>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9B1B45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9B1B45"/>
        <bgColor rgb="FF993300"/>
      </patternFill>
    </fill>
    <fill>
      <patternFill patternType="solid">
        <fgColor rgb="FFFCE4EC"/>
        <bgColor rgb="FFFFFFFF"/>
      </patternFill>
    </fill>
    <fill>
      <patternFill patternType="solid">
        <fgColor rgb="FFD6336C"/>
        <bgColor rgb="FFE8598B"/>
      </patternFill>
    </fill>
    <fill>
      <patternFill patternType="solid">
        <fgColor rgb="FFE8598B"/>
        <bgColor rgb="FFD6336C"/>
      </patternFill>
    </fill>
    <fill>
      <patternFill patternType="solid">
        <fgColor rgb="FFF8CBAD"/>
        <bgColor rgb="FFFFE699"/>
      </patternFill>
    </fill>
    <fill>
      <patternFill patternType="solid">
        <fgColor rgb="FFFFE699"/>
        <bgColor rgb="FFF8CBAD"/>
      </patternFill>
    </fill>
    <fill>
      <patternFill patternType="solid">
        <fgColor rgb="FFC6E0B4"/>
        <bgColor rgb="FFCCCC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B7B7B7"/>
      </left>
      <right/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B1B45"/>
      <rgbColor rgb="FFFCE4EC"/>
      <rgbColor rgb="FFCCFFFF"/>
      <rgbColor rgb="FF660066"/>
      <rgbColor rgb="FFE8598B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D6336C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70"/>
    <col collapsed="false" customWidth="true" hidden="false" outlineLevel="0" max="5" min="4" style="0" width="22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</row>
    <row r="4" customFormat="false" ht="19.5" hidden="false" customHeight="true" outlineLevel="0" collapsed="false">
      <c r="A4" s="3" t="s">
        <v>2</v>
      </c>
      <c r="B4" s="3"/>
      <c r="C4" s="3"/>
      <c r="D4" s="3"/>
      <c r="E4" s="3"/>
    </row>
    <row r="6" customFormat="false" ht="15" hidden="false" customHeight="true" outlineLevel="0" collapsed="false">
      <c r="B6" s="4" t="s">
        <v>3</v>
      </c>
      <c r="C6" s="4" t="s">
        <v>4</v>
      </c>
      <c r="D6" s="4"/>
      <c r="E6" s="4"/>
    </row>
    <row r="7" customFormat="false" ht="30" hidden="false" customHeight="true" outlineLevel="0" collapsed="false">
      <c r="B7" s="5" t="s">
        <v>5</v>
      </c>
      <c r="C7" s="6" t="s">
        <v>6</v>
      </c>
      <c r="D7" s="6"/>
      <c r="E7" s="6"/>
    </row>
    <row r="8" customFormat="false" ht="30" hidden="false" customHeight="true" outlineLevel="0" collapsed="false">
      <c r="B8" s="5" t="s">
        <v>7</v>
      </c>
      <c r="C8" s="6" t="s">
        <v>8</v>
      </c>
      <c r="D8" s="6"/>
      <c r="E8" s="6"/>
    </row>
    <row r="9" customFormat="false" ht="30" hidden="false" customHeight="true" outlineLevel="0" collapsed="false">
      <c r="B9" s="5" t="s">
        <v>9</v>
      </c>
      <c r="C9" s="6" t="s">
        <v>10</v>
      </c>
      <c r="D9" s="6"/>
      <c r="E9" s="6"/>
    </row>
    <row r="10" customFormat="false" ht="30" hidden="false" customHeight="true" outlineLevel="0" collapsed="false">
      <c r="B10" s="5" t="s">
        <v>11</v>
      </c>
      <c r="C10" s="6" t="s">
        <v>12</v>
      </c>
      <c r="D10" s="6"/>
      <c r="E10" s="6"/>
    </row>
    <row r="11" customFormat="false" ht="30" hidden="false" customHeight="true" outlineLevel="0" collapsed="false">
      <c r="B11" s="5" t="s">
        <v>13</v>
      </c>
      <c r="C11" s="6" t="s">
        <v>14</v>
      </c>
      <c r="D11" s="6"/>
      <c r="E11" s="6"/>
    </row>
    <row r="13" customFormat="false" ht="19.5" hidden="false" customHeight="true" outlineLevel="0" collapsed="false">
      <c r="A13" s="3" t="s">
        <v>15</v>
      </c>
      <c r="B13" s="3"/>
      <c r="C13" s="3"/>
      <c r="D13" s="3"/>
      <c r="E13" s="3"/>
    </row>
    <row r="14" customFormat="false" ht="15" hidden="false" customHeight="true" outlineLevel="0" collapsed="false">
      <c r="B14" s="7" t="s">
        <v>16</v>
      </c>
      <c r="C14" s="7"/>
      <c r="D14" s="7"/>
      <c r="E14" s="7"/>
    </row>
    <row r="15" customFormat="false" ht="15" hidden="false" customHeight="false" outlineLevel="0" collapsed="false">
      <c r="B15" s="7"/>
      <c r="C15" s="7"/>
      <c r="D15" s="7"/>
      <c r="E15" s="7"/>
    </row>
    <row r="16" customFormat="false" ht="15" hidden="false" customHeight="false" outlineLevel="0" collapsed="false">
      <c r="B16" s="7"/>
      <c r="C16" s="7"/>
      <c r="D16" s="7"/>
      <c r="E16" s="7"/>
    </row>
    <row r="17" customFormat="false" ht="15" hidden="false" customHeight="false" outlineLevel="0" collapsed="false">
      <c r="B17" s="7"/>
      <c r="C17" s="7"/>
      <c r="D17" s="7"/>
      <c r="E17" s="7"/>
    </row>
  </sheetData>
  <mergeCells count="11">
    <mergeCell ref="A1:E1"/>
    <mergeCell ref="A2:E2"/>
    <mergeCell ref="A4:E4"/>
    <mergeCell ref="C6:E6"/>
    <mergeCell ref="C7:E7"/>
    <mergeCell ref="C8:E8"/>
    <mergeCell ref="C9:E9"/>
    <mergeCell ref="C10:E10"/>
    <mergeCell ref="C11:E11"/>
    <mergeCell ref="A13:E13"/>
    <mergeCell ref="B14:E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"/>
    <col collapsed="false" customWidth="true" hidden="false" outlineLevel="0" max="3" min="3" style="0" width="26"/>
    <col collapsed="false" customWidth="true" hidden="false" outlineLevel="0" max="4" min="4" style="0" width="30"/>
    <col collapsed="false" customWidth="true" hidden="false" outlineLevel="0" max="6" min="5" style="0" width="26"/>
    <col collapsed="false" customWidth="true" hidden="false" outlineLevel="0" max="7" min="7" style="0" width="14"/>
  </cols>
  <sheetData>
    <row r="1" customFormat="false" ht="33.75" hidden="false" customHeight="true" outlineLevel="0" collapsed="false">
      <c r="A1" s="1" t="s">
        <v>17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">
        <v>18</v>
      </c>
      <c r="B2" s="2"/>
      <c r="C2" s="2"/>
      <c r="D2" s="2"/>
      <c r="E2" s="2"/>
      <c r="F2" s="2"/>
      <c r="G2" s="2"/>
    </row>
    <row r="4" customFormat="false" ht="30" hidden="false" customHeight="true" outlineLevel="0" collapsed="false">
      <c r="B4" s="4" t="s">
        <v>19</v>
      </c>
      <c r="C4" s="4" t="s">
        <v>20</v>
      </c>
      <c r="D4" s="4" t="s">
        <v>21</v>
      </c>
      <c r="E4" s="4" t="s">
        <v>22</v>
      </c>
      <c r="F4" s="4" t="s">
        <v>23</v>
      </c>
      <c r="G4" s="4" t="s">
        <v>24</v>
      </c>
    </row>
    <row r="5" customFormat="false" ht="60" hidden="false" customHeight="true" outlineLevel="0" collapsed="false">
      <c r="B5" s="5" t="s">
        <v>25</v>
      </c>
      <c r="C5" s="5" t="s">
        <v>26</v>
      </c>
      <c r="D5" s="5" t="s">
        <v>27</v>
      </c>
      <c r="E5" s="5" t="s">
        <v>28</v>
      </c>
      <c r="F5" s="5" t="s">
        <v>29</v>
      </c>
      <c r="G5" s="5" t="s">
        <v>30</v>
      </c>
    </row>
    <row r="6" customFormat="false" ht="60" hidden="false" customHeight="true" outlineLevel="0" collapsed="false">
      <c r="B6" s="5" t="s">
        <v>31</v>
      </c>
      <c r="C6" s="5" t="s">
        <v>32</v>
      </c>
      <c r="D6" s="5" t="s">
        <v>33</v>
      </c>
      <c r="E6" s="5" t="s">
        <v>34</v>
      </c>
      <c r="F6" s="5" t="s">
        <v>35</v>
      </c>
      <c r="G6" s="5" t="s">
        <v>30</v>
      </c>
    </row>
    <row r="7" customFormat="false" ht="60" hidden="false" customHeight="true" outlineLevel="0" collapsed="false">
      <c r="B7" s="5" t="s">
        <v>36</v>
      </c>
      <c r="C7" s="5" t="s">
        <v>37</v>
      </c>
      <c r="D7" s="5" t="s">
        <v>38</v>
      </c>
      <c r="E7" s="5" t="s">
        <v>39</v>
      </c>
      <c r="F7" s="5" t="s">
        <v>40</v>
      </c>
      <c r="G7" s="5" t="s">
        <v>30</v>
      </c>
    </row>
    <row r="8" customFormat="false" ht="60" hidden="false" customHeight="true" outlineLevel="0" collapsed="false">
      <c r="B8" s="5" t="s">
        <v>41</v>
      </c>
      <c r="C8" s="5" t="s">
        <v>42</v>
      </c>
      <c r="D8" s="5" t="s">
        <v>43</v>
      </c>
      <c r="E8" s="5" t="s">
        <v>44</v>
      </c>
      <c r="F8" s="5" t="s">
        <v>45</v>
      </c>
      <c r="G8" s="5" t="s">
        <v>46</v>
      </c>
    </row>
    <row r="9" customFormat="false" ht="60" hidden="false" customHeight="true" outlineLevel="0" collapsed="false">
      <c r="B9" s="5" t="s">
        <v>47</v>
      </c>
      <c r="C9" s="5" t="s">
        <v>48</v>
      </c>
      <c r="D9" s="5" t="s">
        <v>49</v>
      </c>
      <c r="E9" s="5" t="s">
        <v>50</v>
      </c>
      <c r="F9" s="5" t="s">
        <v>51</v>
      </c>
      <c r="G9" s="5" t="s">
        <v>46</v>
      </c>
    </row>
    <row r="11" customFormat="false" ht="19.5" hidden="false" customHeight="true" outlineLevel="0" collapsed="false">
      <c r="A11" s="3" t="s">
        <v>52</v>
      </c>
      <c r="B11" s="3"/>
      <c r="C11" s="3"/>
      <c r="D11" s="3"/>
      <c r="E11" s="3"/>
      <c r="F11" s="3"/>
      <c r="G11" s="3"/>
    </row>
    <row r="12" customFormat="false" ht="15" hidden="false" customHeight="true" outlineLevel="0" collapsed="false">
      <c r="B12" s="4" t="s">
        <v>53</v>
      </c>
      <c r="C12" s="8" t="s">
        <v>54</v>
      </c>
      <c r="D12" s="8"/>
      <c r="E12" s="8"/>
      <c r="F12" s="8"/>
      <c r="G12" s="8"/>
    </row>
    <row r="13" customFormat="false" ht="27.75" hidden="false" customHeight="true" outlineLevel="0" collapsed="false">
      <c r="B13" s="5" t="s">
        <v>55</v>
      </c>
      <c r="C13" s="6" t="s">
        <v>56</v>
      </c>
      <c r="D13" s="6"/>
      <c r="E13" s="6"/>
      <c r="F13" s="6"/>
      <c r="G13" s="6"/>
    </row>
    <row r="14" customFormat="false" ht="27.75" hidden="false" customHeight="true" outlineLevel="0" collapsed="false">
      <c r="B14" s="5" t="s">
        <v>57</v>
      </c>
      <c r="C14" s="6" t="s">
        <v>58</v>
      </c>
      <c r="D14" s="6"/>
      <c r="E14" s="6"/>
      <c r="F14" s="6"/>
      <c r="G14" s="6"/>
    </row>
    <row r="15" customFormat="false" ht="27.75" hidden="false" customHeight="true" outlineLevel="0" collapsed="false">
      <c r="B15" s="5" t="s">
        <v>59</v>
      </c>
      <c r="C15" s="6" t="s">
        <v>60</v>
      </c>
      <c r="D15" s="6"/>
      <c r="E15" s="6"/>
      <c r="F15" s="6"/>
      <c r="G15" s="6"/>
    </row>
    <row r="16" customFormat="false" ht="27.75" hidden="false" customHeight="true" outlineLevel="0" collapsed="false">
      <c r="B16" s="5" t="s">
        <v>61</v>
      </c>
      <c r="C16" s="6" t="s">
        <v>62</v>
      </c>
      <c r="D16" s="6"/>
      <c r="E16" s="6"/>
      <c r="F16" s="6"/>
      <c r="G16" s="6"/>
    </row>
    <row r="17" customFormat="false" ht="27.75" hidden="false" customHeight="true" outlineLevel="0" collapsed="false">
      <c r="B17" s="5" t="s">
        <v>63</v>
      </c>
      <c r="C17" s="6" t="s">
        <v>64</v>
      </c>
      <c r="D17" s="6"/>
      <c r="E17" s="6"/>
      <c r="F17" s="6"/>
      <c r="G17" s="6"/>
    </row>
  </sheetData>
  <mergeCells count="9">
    <mergeCell ref="A1:G1"/>
    <mergeCell ref="A2:G2"/>
    <mergeCell ref="A11:G11"/>
    <mergeCell ref="C12:G12"/>
    <mergeCell ref="C13:G13"/>
    <mergeCell ref="C14:G14"/>
    <mergeCell ref="C15:G15"/>
    <mergeCell ref="C16:G16"/>
    <mergeCell ref="C17:G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46"/>
    <col collapsed="false" customWidth="true" hidden="false" outlineLevel="0" max="7" min="4" style="0" width="16"/>
  </cols>
  <sheetData>
    <row r="1" customFormat="false" ht="33.75" hidden="false" customHeight="true" outlineLevel="0" collapsed="false">
      <c r="A1" s="1" t="s">
        <v>65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">
        <v>66</v>
      </c>
      <c r="B2" s="2"/>
      <c r="C2" s="2"/>
      <c r="D2" s="2"/>
      <c r="E2" s="2"/>
      <c r="F2" s="2"/>
      <c r="G2" s="2"/>
    </row>
    <row r="4" customFormat="false" ht="15" hidden="false" customHeight="true" outlineLevel="0" collapsed="false">
      <c r="B4" s="9" t="s">
        <v>67</v>
      </c>
      <c r="C4" s="6" t="s">
        <v>68</v>
      </c>
      <c r="D4" s="6"/>
      <c r="E4" s="6"/>
      <c r="F4" s="6"/>
      <c r="G4" s="6"/>
    </row>
    <row r="5" customFormat="false" ht="15" hidden="false" customHeight="true" outlineLevel="0" collapsed="false">
      <c r="B5" s="9" t="s">
        <v>69</v>
      </c>
      <c r="C5" s="6" t="s">
        <v>70</v>
      </c>
      <c r="D5" s="6"/>
      <c r="E5" s="6"/>
      <c r="F5" s="6"/>
      <c r="G5" s="6"/>
    </row>
    <row r="6" customFormat="false" ht="15" hidden="false" customHeight="true" outlineLevel="0" collapsed="false">
      <c r="B6" s="9" t="s">
        <v>71</v>
      </c>
      <c r="C6" s="6" t="s">
        <v>72</v>
      </c>
      <c r="D6" s="6"/>
      <c r="E6" s="6"/>
      <c r="F6" s="6"/>
      <c r="G6" s="6"/>
    </row>
    <row r="7" customFormat="false" ht="15" hidden="false" customHeight="true" outlineLevel="0" collapsed="false">
      <c r="B7" s="9" t="s">
        <v>73</v>
      </c>
      <c r="C7" s="6" t="s">
        <v>74</v>
      </c>
      <c r="D7" s="6"/>
      <c r="E7" s="6"/>
      <c r="F7" s="6"/>
      <c r="G7" s="6"/>
    </row>
    <row r="8" customFormat="false" ht="15" hidden="false" customHeight="true" outlineLevel="0" collapsed="false">
      <c r="B8" s="9" t="s">
        <v>75</v>
      </c>
      <c r="C8" s="6" t="s">
        <v>76</v>
      </c>
      <c r="D8" s="6"/>
      <c r="E8" s="6"/>
      <c r="F8" s="6"/>
      <c r="G8" s="6"/>
    </row>
    <row r="9" customFormat="false" ht="15" hidden="false" customHeight="true" outlineLevel="0" collapsed="false">
      <c r="B9" s="9" t="s">
        <v>77</v>
      </c>
      <c r="C9" s="6" t="s">
        <v>78</v>
      </c>
      <c r="D9" s="6"/>
      <c r="E9" s="6"/>
      <c r="F9" s="6"/>
      <c r="G9" s="6"/>
    </row>
    <row r="11" customFormat="false" ht="19.5" hidden="false" customHeight="true" outlineLevel="0" collapsed="false">
      <c r="A11" s="3" t="s">
        <v>79</v>
      </c>
      <c r="B11" s="3"/>
      <c r="C11" s="3"/>
      <c r="D11" s="3"/>
      <c r="E11" s="3"/>
      <c r="F11" s="3"/>
      <c r="G11" s="3"/>
    </row>
    <row r="12" customFormat="false" ht="23.85" hidden="false" customHeight="true" outlineLevel="0" collapsed="false">
      <c r="B12" s="4" t="s">
        <v>80</v>
      </c>
      <c r="C12" s="4" t="s">
        <v>81</v>
      </c>
      <c r="D12" s="4" t="s">
        <v>82</v>
      </c>
      <c r="E12" s="4"/>
      <c r="F12" s="4"/>
      <c r="G12" s="4"/>
    </row>
    <row r="13" customFormat="false" ht="25.5" hidden="false" customHeight="true" outlineLevel="0" collapsed="false">
      <c r="B13" s="5" t="s">
        <v>83</v>
      </c>
      <c r="C13" s="6" t="s">
        <v>84</v>
      </c>
      <c r="D13" s="6"/>
      <c r="E13" s="6"/>
      <c r="F13" s="6"/>
      <c r="G13" s="10" t="s">
        <v>85</v>
      </c>
    </row>
    <row r="14" customFormat="false" ht="25.5" hidden="false" customHeight="true" outlineLevel="0" collapsed="false">
      <c r="B14" s="5" t="s">
        <v>86</v>
      </c>
      <c r="C14" s="6" t="s">
        <v>87</v>
      </c>
      <c r="D14" s="6"/>
      <c r="E14" s="6"/>
      <c r="F14" s="6"/>
      <c r="G14" s="10" t="s">
        <v>88</v>
      </c>
    </row>
    <row r="15" customFormat="false" ht="25.5" hidden="false" customHeight="true" outlineLevel="0" collapsed="false">
      <c r="B15" s="5" t="s">
        <v>89</v>
      </c>
      <c r="C15" s="6" t="s">
        <v>90</v>
      </c>
      <c r="D15" s="6"/>
      <c r="E15" s="6"/>
      <c r="F15" s="6"/>
      <c r="G15" s="10" t="s">
        <v>91</v>
      </c>
    </row>
    <row r="16" customFormat="false" ht="25.5" hidden="false" customHeight="true" outlineLevel="0" collapsed="false">
      <c r="B16" s="5" t="s">
        <v>92</v>
      </c>
      <c r="C16" s="6" t="s">
        <v>93</v>
      </c>
      <c r="D16" s="6"/>
      <c r="E16" s="6"/>
      <c r="F16" s="6"/>
      <c r="G16" s="10" t="s">
        <v>94</v>
      </c>
    </row>
    <row r="17" customFormat="false" ht="25.5" hidden="false" customHeight="true" outlineLevel="0" collapsed="false">
      <c r="B17" s="5" t="s">
        <v>95</v>
      </c>
      <c r="C17" s="6" t="s">
        <v>96</v>
      </c>
      <c r="D17" s="6"/>
      <c r="E17" s="6"/>
      <c r="F17" s="6"/>
      <c r="G17" s="10" t="s">
        <v>97</v>
      </c>
    </row>
    <row r="19" customFormat="false" ht="19.5" hidden="false" customHeight="true" outlineLevel="0" collapsed="false">
      <c r="A19" s="3" t="s">
        <v>98</v>
      </c>
      <c r="B19" s="3"/>
      <c r="C19" s="3"/>
      <c r="D19" s="3"/>
      <c r="E19" s="3"/>
      <c r="F19" s="3"/>
      <c r="G19" s="3"/>
    </row>
    <row r="20" customFormat="false" ht="15" hidden="false" customHeight="true" outlineLevel="0" collapsed="false">
      <c r="B20" s="4" t="s">
        <v>99</v>
      </c>
      <c r="C20" s="4" t="s">
        <v>100</v>
      </c>
      <c r="D20" s="4"/>
      <c r="E20" s="4" t="s">
        <v>101</v>
      </c>
      <c r="F20" s="4"/>
      <c r="G20" s="4" t="s">
        <v>102</v>
      </c>
    </row>
    <row r="21" customFormat="false" ht="36" hidden="false" customHeight="true" outlineLevel="0" collapsed="false">
      <c r="B21" s="5" t="s">
        <v>103</v>
      </c>
      <c r="C21" s="6" t="s">
        <v>104</v>
      </c>
      <c r="D21" s="6"/>
      <c r="E21" s="6" t="s">
        <v>105</v>
      </c>
      <c r="F21" s="6"/>
      <c r="G21" s="11" t="s">
        <v>106</v>
      </c>
    </row>
    <row r="22" customFormat="false" ht="36" hidden="false" customHeight="true" outlineLevel="0" collapsed="false">
      <c r="B22" s="5" t="s">
        <v>107</v>
      </c>
      <c r="C22" s="6" t="s">
        <v>108</v>
      </c>
      <c r="D22" s="6"/>
      <c r="E22" s="6" t="s">
        <v>109</v>
      </c>
      <c r="F22" s="6"/>
      <c r="G22" s="11" t="s">
        <v>110</v>
      </c>
    </row>
    <row r="23" customFormat="false" ht="36" hidden="false" customHeight="true" outlineLevel="0" collapsed="false">
      <c r="B23" s="5" t="s">
        <v>111</v>
      </c>
      <c r="C23" s="6" t="s">
        <v>112</v>
      </c>
      <c r="D23" s="6"/>
      <c r="E23" s="6" t="s">
        <v>113</v>
      </c>
      <c r="F23" s="6"/>
      <c r="G23" s="12" t="s">
        <v>114</v>
      </c>
    </row>
    <row r="24" customFormat="false" ht="36" hidden="false" customHeight="true" outlineLevel="0" collapsed="false">
      <c r="B24" s="5" t="s">
        <v>115</v>
      </c>
      <c r="C24" s="6" t="s">
        <v>116</v>
      </c>
      <c r="D24" s="6"/>
      <c r="E24" s="6" t="s">
        <v>117</v>
      </c>
      <c r="F24" s="6"/>
      <c r="G24" s="13" t="s">
        <v>118</v>
      </c>
    </row>
    <row r="26" customFormat="false" ht="19.5" hidden="false" customHeight="true" outlineLevel="0" collapsed="false">
      <c r="A26" s="3" t="s">
        <v>119</v>
      </c>
      <c r="B26" s="3"/>
      <c r="C26" s="3"/>
      <c r="D26" s="3"/>
      <c r="E26" s="3"/>
      <c r="F26" s="3"/>
      <c r="G26" s="3"/>
    </row>
    <row r="27" customFormat="false" ht="25.5" hidden="false" customHeight="true" outlineLevel="0" collapsed="false">
      <c r="B27" s="9" t="s">
        <v>120</v>
      </c>
      <c r="C27" s="6" t="s">
        <v>121</v>
      </c>
      <c r="D27" s="6"/>
      <c r="E27" s="6"/>
      <c r="F27" s="6"/>
      <c r="G27" s="6"/>
    </row>
    <row r="28" customFormat="false" ht="25.5" hidden="false" customHeight="true" outlineLevel="0" collapsed="false">
      <c r="B28" s="9" t="s">
        <v>122</v>
      </c>
      <c r="C28" s="6" t="s">
        <v>123</v>
      </c>
      <c r="D28" s="6"/>
      <c r="E28" s="6"/>
      <c r="F28" s="6"/>
      <c r="G28" s="6"/>
    </row>
    <row r="30" customFormat="false" ht="19.5" hidden="false" customHeight="true" outlineLevel="0" collapsed="false">
      <c r="A30" s="3" t="s">
        <v>124</v>
      </c>
      <c r="B30" s="3"/>
      <c r="C30" s="3"/>
      <c r="D30" s="3"/>
      <c r="E30" s="3"/>
      <c r="F30" s="3"/>
      <c r="G30" s="3"/>
    </row>
    <row r="31" customFormat="false" ht="30" hidden="false" customHeight="true" outlineLevel="0" collapsed="false">
      <c r="B31" s="9" t="s">
        <v>125</v>
      </c>
      <c r="C31" s="6" t="s">
        <v>126</v>
      </c>
      <c r="D31" s="6"/>
      <c r="E31" s="6"/>
      <c r="F31" s="6"/>
      <c r="G31" s="6"/>
    </row>
    <row r="32" customFormat="false" ht="30" hidden="false" customHeight="true" outlineLevel="0" collapsed="false">
      <c r="B32" s="9" t="s">
        <v>127</v>
      </c>
      <c r="C32" s="6" t="s">
        <v>128</v>
      </c>
      <c r="D32" s="6"/>
      <c r="E32" s="6"/>
      <c r="F32" s="6"/>
      <c r="G32" s="6"/>
    </row>
  </sheetData>
  <mergeCells count="32">
    <mergeCell ref="A1:G1"/>
    <mergeCell ref="A2:G2"/>
    <mergeCell ref="C4:G4"/>
    <mergeCell ref="C5:G5"/>
    <mergeCell ref="C6:G6"/>
    <mergeCell ref="C7:G7"/>
    <mergeCell ref="C8:G8"/>
    <mergeCell ref="C9:G9"/>
    <mergeCell ref="A11:G11"/>
    <mergeCell ref="D12:G12"/>
    <mergeCell ref="C13:F13"/>
    <mergeCell ref="C14:F14"/>
    <mergeCell ref="C15:F15"/>
    <mergeCell ref="C16:F16"/>
    <mergeCell ref="C17:F17"/>
    <mergeCell ref="A19:G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A26:G26"/>
    <mergeCell ref="C27:G27"/>
    <mergeCell ref="C28:G28"/>
    <mergeCell ref="A30:G30"/>
    <mergeCell ref="C31:G31"/>
    <mergeCell ref="C32:G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3" min="3" style="0" width="90"/>
  </cols>
  <sheetData>
    <row r="1" customFormat="false" ht="33.75" hidden="false" customHeight="true" outlineLevel="0" collapsed="false">
      <c r="A1" s="1" t="s">
        <v>9</v>
      </c>
      <c r="B1" s="1"/>
      <c r="C1" s="1"/>
    </row>
    <row r="2" customFormat="false" ht="18" hidden="false" customHeight="true" outlineLevel="0" collapsed="false">
      <c r="A2" s="2" t="s">
        <v>129</v>
      </c>
      <c r="B2" s="2"/>
      <c r="C2" s="2"/>
    </row>
    <row r="4" customFormat="false" ht="19.5" hidden="false" customHeight="true" outlineLevel="0" collapsed="false">
      <c r="A4" s="3" t="s">
        <v>130</v>
      </c>
      <c r="B4" s="3"/>
      <c r="C4" s="3"/>
    </row>
    <row r="5" customFormat="false" ht="43.5" hidden="false" customHeight="true" outlineLevel="0" collapsed="false">
      <c r="B5" s="9" t="s">
        <v>131</v>
      </c>
      <c r="C5" s="5" t="s">
        <v>132</v>
      </c>
    </row>
    <row r="6" customFormat="false" ht="55.5" hidden="false" customHeight="true" outlineLevel="0" collapsed="false">
      <c r="B6" s="9" t="s">
        <v>133</v>
      </c>
      <c r="C6" s="5" t="s">
        <v>134</v>
      </c>
    </row>
    <row r="8" customFormat="false" ht="19.5" hidden="false" customHeight="true" outlineLevel="0" collapsed="false">
      <c r="A8" s="3" t="s">
        <v>135</v>
      </c>
      <c r="B8" s="3"/>
      <c r="C8" s="3"/>
    </row>
    <row r="9" customFormat="false" ht="45.75" hidden="false" customHeight="true" outlineLevel="0" collapsed="false">
      <c r="B9" s="9" t="s">
        <v>136</v>
      </c>
      <c r="C9" s="5" t="s">
        <v>137</v>
      </c>
    </row>
    <row r="10" customFormat="false" ht="39.75" hidden="false" customHeight="true" outlineLevel="0" collapsed="false">
      <c r="B10" s="9" t="s">
        <v>138</v>
      </c>
      <c r="C10" s="5" t="s">
        <v>139</v>
      </c>
    </row>
    <row r="12" customFormat="false" ht="19.5" hidden="false" customHeight="true" outlineLevel="0" collapsed="false">
      <c r="A12" s="3" t="s">
        <v>140</v>
      </c>
      <c r="B12" s="3"/>
      <c r="C12" s="3"/>
    </row>
    <row r="13" customFormat="false" ht="48" hidden="false" customHeight="true" outlineLevel="0" collapsed="false">
      <c r="B13" s="9" t="s">
        <v>141</v>
      </c>
      <c r="C13" s="5" t="s">
        <v>142</v>
      </c>
    </row>
    <row r="15" customFormat="false" ht="19.5" hidden="false" customHeight="true" outlineLevel="0" collapsed="false">
      <c r="A15" s="3" t="s">
        <v>143</v>
      </c>
      <c r="B15" s="3"/>
      <c r="C15" s="3"/>
    </row>
    <row r="16" customFormat="false" ht="33.75" hidden="false" customHeight="true" outlineLevel="0" collapsed="false">
      <c r="B16" s="9" t="s">
        <v>144</v>
      </c>
      <c r="C16" s="5" t="s">
        <v>145</v>
      </c>
    </row>
    <row r="17" customFormat="false" ht="43.5" hidden="false" customHeight="true" outlineLevel="0" collapsed="false">
      <c r="B17" s="9" t="s">
        <v>146</v>
      </c>
      <c r="C17" s="5" t="s">
        <v>147</v>
      </c>
    </row>
    <row r="19" customFormat="false" ht="19.5" hidden="false" customHeight="true" outlineLevel="0" collapsed="false">
      <c r="A19" s="3" t="s">
        <v>148</v>
      </c>
      <c r="B19" s="3"/>
      <c r="C19" s="3"/>
    </row>
    <row r="20" customFormat="false" ht="45.75" hidden="false" customHeight="true" outlineLevel="0" collapsed="false">
      <c r="B20" s="9" t="s">
        <v>149</v>
      </c>
      <c r="C20" s="5" t="s">
        <v>150</v>
      </c>
    </row>
    <row r="22" customFormat="false" ht="19.5" hidden="false" customHeight="true" outlineLevel="0" collapsed="false">
      <c r="A22" s="3" t="s">
        <v>151</v>
      </c>
      <c r="B22" s="3"/>
      <c r="C22" s="3"/>
    </row>
    <row r="23" customFormat="false" ht="48" hidden="false" customHeight="true" outlineLevel="0" collapsed="false">
      <c r="B23" s="9" t="s">
        <v>152</v>
      </c>
      <c r="C23" s="5" t="s">
        <v>153</v>
      </c>
    </row>
    <row r="25" customFormat="false" ht="19.5" hidden="false" customHeight="true" outlineLevel="0" collapsed="false">
      <c r="A25" s="3" t="s">
        <v>154</v>
      </c>
      <c r="B25" s="3"/>
      <c r="C25" s="3"/>
    </row>
    <row r="26" customFormat="false" ht="39.75" hidden="false" customHeight="true" outlineLevel="0" collapsed="false">
      <c r="B26" s="9" t="s">
        <v>155</v>
      </c>
      <c r="C26" s="5" t="s">
        <v>156</v>
      </c>
    </row>
    <row r="28" customFormat="false" ht="19.5" hidden="false" customHeight="true" outlineLevel="0" collapsed="false">
      <c r="A28" s="3" t="s">
        <v>157</v>
      </c>
      <c r="B28" s="3"/>
      <c r="C28" s="3"/>
    </row>
    <row r="29" customFormat="false" ht="36" hidden="false" customHeight="true" outlineLevel="0" collapsed="false">
      <c r="B29" s="9" t="s">
        <v>158</v>
      </c>
      <c r="C29" s="5" t="s">
        <v>159</v>
      </c>
    </row>
  </sheetData>
  <mergeCells count="10">
    <mergeCell ref="A1:C1"/>
    <mergeCell ref="A2:C2"/>
    <mergeCell ref="A4:C4"/>
    <mergeCell ref="A8:C8"/>
    <mergeCell ref="A12:C12"/>
    <mergeCell ref="A15:C15"/>
    <mergeCell ref="A19:C19"/>
    <mergeCell ref="A22:C22"/>
    <mergeCell ref="A25:C25"/>
    <mergeCell ref="A28:C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3" min="3" style="0" width="90"/>
  </cols>
  <sheetData>
    <row r="1" customFormat="false" ht="33.75" hidden="false" customHeight="true" outlineLevel="0" collapsed="false">
      <c r="A1" s="1" t="s">
        <v>160</v>
      </c>
      <c r="B1" s="1"/>
      <c r="C1" s="1"/>
    </row>
    <row r="2" customFormat="false" ht="18" hidden="false" customHeight="true" outlineLevel="0" collapsed="false">
      <c r="A2" s="2" t="s">
        <v>129</v>
      </c>
      <c r="B2" s="2"/>
      <c r="C2" s="2"/>
    </row>
    <row r="4" customFormat="false" ht="19.5" hidden="false" customHeight="true" outlineLevel="0" collapsed="false">
      <c r="A4" s="3" t="s">
        <v>161</v>
      </c>
      <c r="B4" s="3"/>
      <c r="C4" s="3"/>
    </row>
    <row r="5" customFormat="false" ht="49.5" hidden="false" customHeight="true" outlineLevel="0" collapsed="false">
      <c r="B5" s="9" t="s">
        <v>141</v>
      </c>
      <c r="C5" s="5" t="s">
        <v>162</v>
      </c>
    </row>
    <row r="7" customFormat="false" ht="19.5" hidden="false" customHeight="true" outlineLevel="0" collapsed="false">
      <c r="A7" s="3" t="s">
        <v>163</v>
      </c>
      <c r="B7" s="3"/>
      <c r="C7" s="3"/>
    </row>
    <row r="8" customFormat="false" ht="30" hidden="false" customHeight="true" outlineLevel="0" collapsed="false">
      <c r="B8" s="9" t="s">
        <v>164</v>
      </c>
      <c r="C8" s="5" t="s">
        <v>165</v>
      </c>
    </row>
    <row r="9" customFormat="false" ht="30" hidden="false" customHeight="true" outlineLevel="0" collapsed="false">
      <c r="B9" s="9" t="s">
        <v>166</v>
      </c>
      <c r="C9" s="5" t="s">
        <v>167</v>
      </c>
    </row>
    <row r="10" customFormat="false" ht="30" hidden="false" customHeight="true" outlineLevel="0" collapsed="false">
      <c r="B10" s="9" t="s">
        <v>168</v>
      </c>
      <c r="C10" s="5" t="s">
        <v>169</v>
      </c>
    </row>
    <row r="11" customFormat="false" ht="30" hidden="false" customHeight="true" outlineLevel="0" collapsed="false">
      <c r="B11" s="9" t="s">
        <v>170</v>
      </c>
      <c r="C11" s="5" t="s">
        <v>171</v>
      </c>
    </row>
    <row r="13" customFormat="false" ht="19.5" hidden="false" customHeight="true" outlineLevel="0" collapsed="false">
      <c r="A13" s="3" t="s">
        <v>172</v>
      </c>
      <c r="B13" s="3"/>
      <c r="C13" s="3"/>
    </row>
    <row r="14" customFormat="false" ht="31.5" hidden="false" customHeight="true" outlineLevel="0" collapsed="false">
      <c r="B14" s="9" t="s">
        <v>173</v>
      </c>
      <c r="C14" s="5" t="s">
        <v>174</v>
      </c>
    </row>
    <row r="15" customFormat="false" ht="31.5" hidden="false" customHeight="true" outlineLevel="0" collapsed="false">
      <c r="B15" s="9" t="s">
        <v>175</v>
      </c>
      <c r="C15" s="5" t="s">
        <v>176</v>
      </c>
    </row>
    <row r="16" customFormat="false" ht="31.5" hidden="false" customHeight="true" outlineLevel="0" collapsed="false">
      <c r="B16" s="9" t="s">
        <v>177</v>
      </c>
      <c r="C16" s="5" t="s">
        <v>178</v>
      </c>
    </row>
    <row r="17" customFormat="false" ht="31.5" hidden="false" customHeight="true" outlineLevel="0" collapsed="false">
      <c r="B17" s="9" t="s">
        <v>179</v>
      </c>
      <c r="C17" s="5" t="s">
        <v>180</v>
      </c>
    </row>
    <row r="18" customFormat="false" ht="31.5" hidden="false" customHeight="true" outlineLevel="0" collapsed="false">
      <c r="B18" s="9" t="s">
        <v>181</v>
      </c>
      <c r="C18" s="5" t="s">
        <v>182</v>
      </c>
    </row>
    <row r="20" customFormat="false" ht="19.5" hidden="false" customHeight="true" outlineLevel="0" collapsed="false">
      <c r="A20" s="3" t="s">
        <v>183</v>
      </c>
      <c r="B20" s="3"/>
      <c r="C20" s="3"/>
    </row>
    <row r="21" customFormat="false" ht="63.75" hidden="false" customHeight="true" outlineLevel="0" collapsed="false">
      <c r="B21" s="9" t="s">
        <v>184</v>
      </c>
      <c r="C21" s="5" t="s">
        <v>185</v>
      </c>
    </row>
    <row r="23" customFormat="false" ht="19.5" hidden="false" customHeight="true" outlineLevel="0" collapsed="false">
      <c r="A23" s="3" t="s">
        <v>186</v>
      </c>
      <c r="B23" s="3"/>
      <c r="C23" s="3"/>
    </row>
    <row r="24" customFormat="false" ht="42" hidden="false" customHeight="true" outlineLevel="0" collapsed="false">
      <c r="B24" s="9" t="s">
        <v>187</v>
      </c>
      <c r="C24" s="5" t="s">
        <v>188</v>
      </c>
    </row>
    <row r="25" customFormat="false" ht="43.5" hidden="false" customHeight="true" outlineLevel="0" collapsed="false">
      <c r="B25" s="9" t="s">
        <v>189</v>
      </c>
      <c r="C25" s="5" t="s">
        <v>190</v>
      </c>
    </row>
    <row r="27" customFormat="false" ht="19.5" hidden="false" customHeight="true" outlineLevel="0" collapsed="false">
      <c r="A27" s="3" t="s">
        <v>191</v>
      </c>
      <c r="B27" s="3"/>
      <c r="C27" s="3"/>
    </row>
    <row r="28" customFormat="false" ht="51.75" hidden="false" customHeight="true" outlineLevel="0" collapsed="false">
      <c r="B28" s="9" t="s">
        <v>192</v>
      </c>
      <c r="C28" s="5" t="s">
        <v>193</v>
      </c>
    </row>
    <row r="30" customFormat="false" ht="19.5" hidden="false" customHeight="true" outlineLevel="0" collapsed="false">
      <c r="A30" s="3" t="s">
        <v>194</v>
      </c>
      <c r="B30" s="3"/>
      <c r="C30" s="3"/>
    </row>
    <row r="31" customFormat="false" ht="57.75" hidden="false" customHeight="true" outlineLevel="0" collapsed="false">
      <c r="B31" s="9" t="s">
        <v>195</v>
      </c>
      <c r="C31" s="5" t="s">
        <v>196</v>
      </c>
    </row>
  </sheetData>
  <mergeCells count="9">
    <mergeCell ref="A1:C1"/>
    <mergeCell ref="A2:C2"/>
    <mergeCell ref="A4:C4"/>
    <mergeCell ref="A7:C7"/>
    <mergeCell ref="A13:C13"/>
    <mergeCell ref="A20:C20"/>
    <mergeCell ref="A23:C23"/>
    <mergeCell ref="A27:C27"/>
    <mergeCell ref="A30:C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"/>
    <col collapsed="false" customWidth="true" hidden="false" outlineLevel="0" max="3" min="3" style="0" width="42"/>
    <col collapsed="false" customWidth="true" hidden="false" outlineLevel="0" max="4" min="4" style="0" width="24"/>
    <col collapsed="false" customWidth="true" hidden="false" outlineLevel="0" max="6" min="5" style="0" width="12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40"/>
  </cols>
  <sheetData>
    <row r="1" customFormat="false" ht="33.75" hidden="false" customHeight="true" outlineLevel="0" collapsed="false">
      <c r="A1" s="1" t="s">
        <v>197</v>
      </c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2" t="s">
        <v>198</v>
      </c>
      <c r="B2" s="2"/>
      <c r="C2" s="2"/>
      <c r="D2" s="2"/>
      <c r="E2" s="2"/>
      <c r="F2" s="2"/>
      <c r="G2" s="2"/>
      <c r="H2" s="2"/>
      <c r="I2" s="2"/>
    </row>
    <row r="4" customFormat="false" ht="33.75" hidden="false" customHeight="true" outlineLevel="0" collapsed="false">
      <c r="B4" s="4" t="s">
        <v>199</v>
      </c>
      <c r="C4" s="4" t="s">
        <v>200</v>
      </c>
      <c r="D4" s="4" t="s">
        <v>201</v>
      </c>
      <c r="E4" s="4" t="s">
        <v>202</v>
      </c>
      <c r="F4" s="4" t="s">
        <v>203</v>
      </c>
      <c r="G4" s="4" t="s">
        <v>204</v>
      </c>
      <c r="H4" s="4" t="s">
        <v>205</v>
      </c>
      <c r="I4" s="4" t="s">
        <v>206</v>
      </c>
    </row>
    <row r="5" customFormat="false" ht="43.5" hidden="false" customHeight="true" outlineLevel="0" collapsed="false">
      <c r="B5" s="5" t="s">
        <v>207</v>
      </c>
      <c r="C5" s="5" t="s">
        <v>208</v>
      </c>
      <c r="D5" s="5" t="s">
        <v>209</v>
      </c>
      <c r="E5" s="10" t="n">
        <v>3</v>
      </c>
      <c r="F5" s="10" t="n">
        <v>5</v>
      </c>
      <c r="G5" s="14" t="n">
        <f aca="false">E5*F5</f>
        <v>15</v>
      </c>
      <c r="H5" s="15" t="str">
        <f aca="false">IF(G5&gt;=15,"High",IF(G5&gt;=8,"Medium","Low"))</f>
        <v>High</v>
      </c>
      <c r="I5" s="5" t="s">
        <v>210</v>
      </c>
    </row>
    <row r="6" customFormat="false" ht="43.5" hidden="false" customHeight="true" outlineLevel="0" collapsed="false">
      <c r="B6" s="5" t="s">
        <v>211</v>
      </c>
      <c r="C6" s="5" t="s">
        <v>212</v>
      </c>
      <c r="D6" s="5" t="s">
        <v>213</v>
      </c>
      <c r="E6" s="10" t="n">
        <v>4</v>
      </c>
      <c r="F6" s="10" t="n">
        <v>4</v>
      </c>
      <c r="G6" s="14" t="n">
        <f aca="false">E6*F6</f>
        <v>16</v>
      </c>
      <c r="H6" s="15" t="str">
        <f aca="false">IF(G6&gt;=15,"High",IF(G6&gt;=8,"Medium","Low"))</f>
        <v>High</v>
      </c>
      <c r="I6" s="5" t="s">
        <v>214</v>
      </c>
    </row>
    <row r="7" customFormat="false" ht="43.5" hidden="false" customHeight="true" outlineLevel="0" collapsed="false">
      <c r="B7" s="5" t="s">
        <v>215</v>
      </c>
      <c r="C7" s="5" t="s">
        <v>216</v>
      </c>
      <c r="D7" s="5" t="s">
        <v>217</v>
      </c>
      <c r="E7" s="10" t="n">
        <v>2</v>
      </c>
      <c r="F7" s="10" t="n">
        <v>5</v>
      </c>
      <c r="G7" s="14" t="n">
        <f aca="false">E7*F7</f>
        <v>10</v>
      </c>
      <c r="H7" s="15" t="str">
        <f aca="false">IF(G7&gt;=15,"High",IF(G7&gt;=8,"Medium","Low"))</f>
        <v>Medium</v>
      </c>
      <c r="I7" s="5" t="s">
        <v>218</v>
      </c>
    </row>
    <row r="8" customFormat="false" ht="43.5" hidden="false" customHeight="true" outlineLevel="0" collapsed="false">
      <c r="B8" s="5" t="s">
        <v>219</v>
      </c>
      <c r="C8" s="5" t="s">
        <v>220</v>
      </c>
      <c r="D8" s="5" t="s">
        <v>217</v>
      </c>
      <c r="E8" s="10" t="n">
        <v>2</v>
      </c>
      <c r="F8" s="10" t="n">
        <v>5</v>
      </c>
      <c r="G8" s="14" t="n">
        <f aca="false">E8*F8</f>
        <v>10</v>
      </c>
      <c r="H8" s="15" t="str">
        <f aca="false">IF(G8&gt;=15,"High",IF(G8&gt;=8,"Medium","Low"))</f>
        <v>Medium</v>
      </c>
      <c r="I8" s="5" t="s">
        <v>221</v>
      </c>
    </row>
    <row r="9" customFormat="false" ht="43.5" hidden="false" customHeight="true" outlineLevel="0" collapsed="false">
      <c r="B9" s="5" t="s">
        <v>222</v>
      </c>
      <c r="C9" s="5" t="s">
        <v>223</v>
      </c>
      <c r="D9" s="5" t="s">
        <v>224</v>
      </c>
      <c r="E9" s="10" t="n">
        <v>3</v>
      </c>
      <c r="F9" s="10" t="n">
        <v>3</v>
      </c>
      <c r="G9" s="14" t="n">
        <f aca="false">E9*F9</f>
        <v>9</v>
      </c>
      <c r="H9" s="15" t="str">
        <f aca="false">IF(G9&gt;=15,"High",IF(G9&gt;=8,"Medium","Low"))</f>
        <v>Medium</v>
      </c>
      <c r="I9" s="5" t="s">
        <v>225</v>
      </c>
    </row>
    <row r="10" customFormat="false" ht="43.5" hidden="false" customHeight="true" outlineLevel="0" collapsed="false">
      <c r="B10" s="5" t="s">
        <v>226</v>
      </c>
      <c r="C10" s="5" t="s">
        <v>227</v>
      </c>
      <c r="D10" s="5" t="s">
        <v>228</v>
      </c>
      <c r="E10" s="10" t="n">
        <v>3</v>
      </c>
      <c r="F10" s="10" t="n">
        <v>3</v>
      </c>
      <c r="G10" s="14" t="n">
        <f aca="false">E10*F10</f>
        <v>9</v>
      </c>
      <c r="H10" s="15" t="str">
        <f aca="false">IF(G10&gt;=15,"High",IF(G10&gt;=8,"Medium","Low"))</f>
        <v>Medium</v>
      </c>
      <c r="I10" s="5" t="s">
        <v>229</v>
      </c>
    </row>
    <row r="11" customFormat="false" ht="43.5" hidden="false" customHeight="true" outlineLevel="0" collapsed="false">
      <c r="B11" s="5" t="s">
        <v>230</v>
      </c>
      <c r="C11" s="5" t="s">
        <v>231</v>
      </c>
      <c r="D11" s="5" t="s">
        <v>232</v>
      </c>
      <c r="E11" s="10" t="n">
        <v>3</v>
      </c>
      <c r="F11" s="10" t="n">
        <v>2</v>
      </c>
      <c r="G11" s="14" t="n">
        <f aca="false">E11*F11</f>
        <v>6</v>
      </c>
      <c r="H11" s="15" t="str">
        <f aca="false">IF(G11&gt;=15,"High",IF(G11&gt;=8,"Medium","Low"))</f>
        <v>Low</v>
      </c>
      <c r="I11" s="5" t="s">
        <v>233</v>
      </c>
    </row>
    <row r="12" customFormat="false" ht="43.5" hidden="false" customHeight="true" outlineLevel="0" collapsed="false">
      <c r="B12" s="5" t="s">
        <v>234</v>
      </c>
      <c r="C12" s="5" t="s">
        <v>235</v>
      </c>
      <c r="D12" s="5" t="s">
        <v>236</v>
      </c>
      <c r="E12" s="10" t="n">
        <v>2</v>
      </c>
      <c r="F12" s="10" t="n">
        <v>3</v>
      </c>
      <c r="G12" s="14" t="n">
        <f aca="false">E12*F12</f>
        <v>6</v>
      </c>
      <c r="H12" s="15" t="str">
        <f aca="false">IF(G12&gt;=15,"High",IF(G12&gt;=8,"Medium","Low"))</f>
        <v>Low</v>
      </c>
      <c r="I12" s="5" t="s">
        <v>237</v>
      </c>
    </row>
    <row r="14" customFormat="false" ht="42" hidden="false" customHeight="true" outlineLevel="0" collapsed="false">
      <c r="B14" s="9" t="s">
        <v>238</v>
      </c>
      <c r="C14" s="6" t="s">
        <v>239</v>
      </c>
      <c r="D14" s="6"/>
      <c r="E14" s="6"/>
      <c r="F14" s="6"/>
      <c r="G14" s="6"/>
      <c r="H14" s="6"/>
      <c r="I14" s="6"/>
    </row>
  </sheetData>
  <mergeCells count="3">
    <mergeCell ref="A1:I1"/>
    <mergeCell ref="A2:I2"/>
    <mergeCell ref="C14:I14"/>
  </mergeCells>
  <conditionalFormatting sqref="H5:H12">
    <cfRule type="expression" priority="2" aboveAverage="0" equalAverage="0" bottom="0" percent="0" rank="0" text="" dxfId="0">
      <formula>H5="High"</formula>
    </cfRule>
    <cfRule type="expression" priority="3" aboveAverage="0" equalAverage="0" bottom="0" percent="0" rank="0" text="" dxfId="1">
      <formula>H5="Medium"</formula>
    </cfRule>
    <cfRule type="expression" priority="4" aboveAverage="0" equalAverage="0" bottom="0" percent="0" rank="0" text="" dxfId="2">
      <formula>H5="Low"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2026-09-22T10:47:11Z</dcterms:created>
  <dc:creator>openpyxl</dc:creator>
  <dc:description/>
  <dc:language>en-US</dc:language>
  <cp:lastModifiedBy/>
  <dcterms:modified xsi:type="dcterms:W3CDTF">2026-09-22T10:47:11Z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