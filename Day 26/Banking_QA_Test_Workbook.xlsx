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age Map" sheetId="1" state="visible" r:id="rId3"/>
    <sheet name="Summary" sheetId="2" state="visible" r:id="rId4"/>
    <sheet name="Functional TCs" sheetId="3" state="visible" r:id="rId5"/>
    <sheet name="Exploratory" sheetId="4" state="visible" r:id="rId6"/>
    <sheet name="Cross-Browser" sheetId="5" state="visible" r:id="rId7"/>
    <sheet name="Responsive" sheetId="6" state="visible" r:id="rId8"/>
    <sheet name="Defect Log" sheetId="7" state="visible" r:id="rId9"/>
    <sheet name="JIRA Guide" sheetId="8" state="visible" r:id="rId10"/>
    <sheet name="Integration" sheetId="9" state="visible" r:id="rId11"/>
    <sheet name="API Tests (Postman)" sheetId="10" state="visible" r:id="rId12"/>
    <sheet name="Postman Setup" sheetId="11" state="visible" r:id="rId13"/>
    <sheet name="Data Flow" sheetId="12" state="visible" r:id="rId14"/>
    <sheet name="E2E Scenarios" sheetId="13" state="visible" r:id="rId15"/>
    <sheet name="DB Schema" sheetId="14" state="visible" r:id="rId16"/>
    <sheet name="DB Sample Data" sheetId="15" state="visible" r:id="rId17"/>
    <sheet name="DB Testing" sheetId="16" state="visible" r:id="rId18"/>
  </sheets>
  <definedNames>
    <definedName function="false" hidden="true" localSheetId="9" name="_xlnm._FilterDatabase" vbProcedure="false">'API Tests (Postman)'!$A$1:$K$16</definedName>
    <definedName function="false" hidden="true" localSheetId="4" name="_xlnm._FilterDatabase" vbProcedure="false">'Cross-Browser'!$A$1:$L$7</definedName>
    <definedName function="false" hidden="true" localSheetId="11" name="_xlnm._FilterDatabase" vbProcedure="false">'Data Flow'!$A$1:$H$9</definedName>
    <definedName function="false" hidden="true" localSheetId="13" name="_xlnm._FilterDatabase" vbProcedure="false">'DB Schema'!$A$3:$E$23</definedName>
    <definedName function="false" hidden="true" localSheetId="15" name="_xlnm._FilterDatabase" vbProcedure="false">'DB Testing'!$A$1:$H$21</definedName>
    <definedName function="false" hidden="true" localSheetId="6" name="_xlnm._FilterDatabase" vbProcedure="false">'Defect Log'!$A$1:$R$10</definedName>
    <definedName function="false" hidden="true" localSheetId="12" name="_xlnm._FilterDatabase" vbProcedure="false">'E2E Scenarios'!$A$1:$H$5</definedName>
    <definedName function="false" hidden="true" localSheetId="3" name="_xlnm._FilterDatabase" vbProcedure="false">Exploratory!$A$1:$H$7</definedName>
    <definedName function="false" hidden="true" localSheetId="2" name="_xlnm._FilterDatabase" vbProcedure="false">'Functional TCs'!$A$1:$M$21</definedName>
    <definedName function="false" hidden="true" localSheetId="8" name="_xlnm._FilterDatabase" vbProcedure="false">Integration!$A$1:$I$9</definedName>
    <definedName function="false" hidden="true" localSheetId="5" name="_xlnm._FilterDatabase" vbProcedure="false">Responsive!$A$1:$J$10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<sst xmlns="http://schemas.openxmlformats.org/spreadsheetml/2006/main" count="1548" uniqueCount="976">
  <si>
    <t xml:space="preserve">Banking QA Test Workbook - Requirement Coverage Map</t>
  </si>
  <si>
    <t xml:space="preserve">Application: SecureBank Net Banking (UAT) | Modules: Login, Account Summary, Beneficiary, Fund Transfer (IMPS/NEFT), Bill Pay, Statements | All data is fictional sample data.</t>
  </si>
  <si>
    <t xml:space="preserve">Area</t>
  </si>
  <si>
    <t xml:space="preserve">Your Requirement</t>
  </si>
  <si>
    <t xml:space="preserve">Where It Is Covered (sheet)</t>
  </si>
  <si>
    <t xml:space="preserve">Banking Example / Coverage</t>
  </si>
  <si>
    <t xml:space="preserve">MANUAL TESTING</t>
  </si>
  <si>
    <t xml:space="preserve">Execute functional test cases</t>
  </si>
  <si>
    <t xml:space="preserve">Functional TCs</t>
  </si>
  <si>
    <t xml:space="preserve">20 test cases across login, beneficiary, IMPS transfer, bill pay, statement, security</t>
  </si>
  <si>
    <t xml:space="preserve">Perform exploratory testing</t>
  </si>
  <si>
    <t xml:space="preserve">Exploratory</t>
  </si>
  <si>
    <t xml:space="preserve">6 session-based charters with findings linked to defects</t>
  </si>
  <si>
    <t xml:space="preserve">Cross-browser testing</t>
  </si>
  <si>
    <t xml:space="preserve">Cross-Browser</t>
  </si>
  <si>
    <t xml:space="preserve">6 flows x 6 browsers / devices matrix</t>
  </si>
  <si>
    <t xml:space="preserve">Responsive testing</t>
  </si>
  <si>
    <t xml:space="preserve">Responsive</t>
  </si>
  <si>
    <t xml:space="preserve">9 checks on desktop, laptop, tablet and mobile viewports</t>
  </si>
  <si>
    <t xml:space="preserve">Document results (pass / fail)</t>
  </si>
  <si>
    <t xml:space="preserve">All sheets + Summary</t>
  </si>
  <si>
    <t xml:space="preserve">Status dropdown (Pass / Fail / Blocked / Not Run) with colour coding; Summary counts are formulas</t>
  </si>
  <si>
    <t xml:space="preserve">LOG DEFECTS</t>
  </si>
  <si>
    <t xml:space="preserve">Create bugs in JIRA</t>
  </si>
  <si>
    <t xml:space="preserve">Defect Log</t>
  </si>
  <si>
    <t xml:space="preserve">9 bugs using JIRA-style keys (BANK-101 to BANK-109)</t>
  </si>
  <si>
    <t xml:space="preserve">Detailed bug reports</t>
  </si>
  <si>
    <t xml:space="preserve">Summary, description, steps, expected, actual, environment, build</t>
  </si>
  <si>
    <t xml:space="preserve">Proper classification</t>
  </si>
  <si>
    <t xml:space="preserve">Defect Log + JIRA Guide</t>
  </si>
  <si>
    <t xml:space="preserve">Severity, priority, type, component, labels, status</t>
  </si>
  <si>
    <t xml:space="preserve">Attach evidence</t>
  </si>
  <si>
    <t xml:space="preserve">Defect Log (Evidence column)</t>
  </si>
  <si>
    <t xml:space="preserve">Screenshots, videos, Postman responses, SQL results, logs</t>
  </si>
  <si>
    <t xml:space="preserve">Link to test cases</t>
  </si>
  <si>
    <t xml:space="preserve">Defect Log (Linked Test Case) + Defect ID columns</t>
  </si>
  <si>
    <t xml:space="preserve">Two-way traceability: TC to bug and bug to TC</t>
  </si>
  <si>
    <t xml:space="preserve">INTEGRATION TESTING</t>
  </si>
  <si>
    <t xml:space="preserve">Test module integrations</t>
  </si>
  <si>
    <t xml:space="preserve">Integration</t>
  </si>
  <si>
    <t xml:space="preserve">8 integrations: CBS, OTP, SMS, IMPS switch, IFSC, BBPS, fraud engine, statements</t>
  </si>
  <si>
    <t xml:space="preserve">API testing with Postman</t>
  </si>
  <si>
    <t xml:space="preserve">API Tests (Postman) + Postman Setup</t>
  </si>
  <si>
    <t xml:space="preserve">15 requests with expected status, JSON body and Postman test scripts</t>
  </si>
  <si>
    <t xml:space="preserve">Data flow validation</t>
  </si>
  <si>
    <t xml:space="preserve">Data Flow</t>
  </si>
  <si>
    <t xml:space="preserve">Field-by-field check: UI &gt; API &gt; DB &gt; Ledger &gt; SMS</t>
  </si>
  <si>
    <t xml:space="preserve">End-to-end scenarios</t>
  </si>
  <si>
    <t xml:space="preserve">E2E Scenarios</t>
  </si>
  <si>
    <t xml:space="preserve">4 business journeys across all layers</t>
  </si>
  <si>
    <t xml:space="preserve">DATABASE TESTING</t>
  </si>
  <si>
    <t xml:space="preserve">Validate data in the database</t>
  </si>
  <si>
    <t xml:space="preserve">DB Testing (Data Validation)</t>
  </si>
  <si>
    <t xml:space="preserve">DB-001 to DB-006</t>
  </si>
  <si>
    <t xml:space="preserve">Check transactions</t>
  </si>
  <si>
    <t xml:space="preserve">DB Testing (Transactions)</t>
  </si>
  <si>
    <t xml:space="preserve">DB-007 to DB-014: atomicity, reversal, duplicates, rollback, locking, limits</t>
  </si>
  <si>
    <t xml:space="preserve">Data integrity checks</t>
  </si>
  <si>
    <t xml:space="preserve">DB Testing (Data Integrity)</t>
  </si>
  <si>
    <t xml:space="preserve">DB-015 to DB-020: ledger balance, orphans, uniqueness, audit</t>
  </si>
  <si>
    <t xml:space="preserve">Run SQL queries</t>
  </si>
  <si>
    <t xml:space="preserve">DB Testing + DB Schema + DB Sample Data</t>
  </si>
  <si>
    <t xml:space="preserve">20 ready-to-run queries with expected vs actual results</t>
  </si>
  <si>
    <t xml:space="preserve">HOW TO USE</t>
  </si>
  <si>
    <t xml:space="preserve">Yellow-tab sheets are the overview. Blue = manual tests, red = defects, green = integration / API, purple = database.</t>
  </si>
  <si>
    <t xml:space="preserve">Status columns have a dropdown: Pass (green), Fail (red), Blocked (orange), Not Run (grey). Update them and the Summary refreshes automatically.</t>
  </si>
  <si>
    <t xml:space="preserve">Actual Result, Status and Defect ID values are sample results to show how a completed cycle looks. Overwrite them with your own execution results.</t>
  </si>
  <si>
    <t xml:space="preserve">Add a new defect row in 'Defect Log' and reference its key in the Defect ID column of the failed test.</t>
  </si>
  <si>
    <t xml:space="preserve">Test Execution Summary - SecureBank Net Banking (UAT)</t>
  </si>
  <si>
    <t xml:space="preserve">All figures are formulas linked to the test sheets; they update when you change a Status.</t>
  </si>
  <si>
    <t xml:space="preserve">Test Area</t>
  </si>
  <si>
    <t xml:space="preserve">Total</t>
  </si>
  <si>
    <t xml:space="preserve">Pass</t>
  </si>
  <si>
    <t xml:space="preserve">Fail</t>
  </si>
  <si>
    <t xml:space="preserve">Blocked</t>
  </si>
  <si>
    <t xml:space="preserve">Not Run</t>
  </si>
  <si>
    <t xml:space="preserve">Pass %</t>
  </si>
  <si>
    <t xml:space="preserve">Manual - Functional</t>
  </si>
  <si>
    <t xml:space="preserve">Data Flow Validation</t>
  </si>
  <si>
    <t xml:space="preserve">End-to-End</t>
  </si>
  <si>
    <t xml:space="preserve">API (Postman)</t>
  </si>
  <si>
    <t xml:space="preserve">Database (SQL)</t>
  </si>
  <si>
    <t xml:space="preserve">TOTAL</t>
  </si>
  <si>
    <t xml:space="preserve">Exploratory charters completed</t>
  </si>
  <si>
    <t xml:space="preserve">planned in total</t>
  </si>
  <si>
    <t xml:space="preserve">Defects by Severity</t>
  </si>
  <si>
    <t xml:space="preserve">Count</t>
  </si>
  <si>
    <t xml:space="preserve">Critical</t>
  </si>
  <si>
    <t xml:space="preserve">Major</t>
  </si>
  <si>
    <t xml:space="preserve">Minor</t>
  </si>
  <si>
    <t xml:space="preserve">Trivial</t>
  </si>
  <si>
    <t xml:space="preserve">Defects by Status</t>
  </si>
  <si>
    <t xml:space="preserve">Open</t>
  </si>
  <si>
    <t xml:space="preserve">In Progress</t>
  </si>
  <si>
    <t xml:space="preserve">Ready for Retest</t>
  </si>
  <si>
    <t xml:space="preserve">Reopened</t>
  </si>
  <si>
    <t xml:space="preserve">Closed</t>
  </si>
  <si>
    <t xml:space="preserve">Total defects logged</t>
  </si>
  <si>
    <t xml:space="preserve">TC ID</t>
  </si>
  <si>
    <t xml:space="preserve">Module</t>
  </si>
  <si>
    <t xml:space="preserve">Scenario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</si>
  <si>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</si>
  <si>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</si>
  <si>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</si>
  <si>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</si>
  <si>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</si>
  <si>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</si>
  <si>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</si>
  <si>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Defect ID</t>
  </si>
  <si>
    <t xml:space="preserve">Executed By</t>
  </si>
  <si>
    <t xml:space="preserve">Executed On</t>
  </si>
  <si>
    <t xml:space="preserve">FT-LOG-001</t>
  </si>
  <si>
    <t xml:space="preserve">Login</t>
  </si>
  <si>
    <t xml:space="preserve">Login with valid credentials + OTP</t>
  </si>
  <si>
    <t xml:space="preserve">High</t>
  </si>
  <si>
    <t xml:space="preserve">User registered; mobile number active</t>
  </si>
  <si>
    <t xml:space="preserve">1. Open net banking URL
2. Enter User ID &amp; password
3. Click Login
4. Enter OTP</t>
  </si>
  <si>
    <t xml:space="preserve">User: cust1001 / Pass@1234 / OTP 482913</t>
  </si>
  <si>
    <t xml:space="preserve">Dashboard opens; last-login date &amp; time shown</t>
  </si>
  <si>
    <t xml:space="preserve">As expected</t>
  </si>
  <si>
    <t xml:space="preserve">QA Analyst</t>
  </si>
  <si>
    <t xml:space="preserve">2026-09-23</t>
  </si>
  <si>
    <t xml:space="preserve">FT-LOG-002</t>
  </si>
  <si>
    <t xml:space="preserve">Account locks after 3 wrong passwords</t>
  </si>
  <si>
    <t xml:space="preserve">Active user account</t>
  </si>
  <si>
    <t xml:space="preserve">1. Enter wrong password 3 times consecutively</t>
  </si>
  <si>
    <t xml:space="preserve">cust1001 / Wrong@123 (x3)</t>
  </si>
  <si>
    <t xml:space="preserve">'Account locked' message; unlock only via reset / customer care</t>
  </si>
  <si>
    <t xml:space="preserve">FT-LOG-003</t>
  </si>
  <si>
    <t xml:space="preserve">OTP expires after 5 minutes</t>
  </si>
  <si>
    <t xml:space="preserve">Valid user; OTP generated</t>
  </si>
  <si>
    <t xml:space="preserve">1. Login and receive OTP
2. Wait 6 minutes
3. Enter the OTP</t>
  </si>
  <si>
    <t xml:space="preserve">cust1001 / OTP 482913 after 6 min</t>
  </si>
  <si>
    <t xml:space="preserve">'OTP expired' error with Resend option</t>
  </si>
  <si>
    <t xml:space="preserve">OTP accepted after 6 minutes; login successful</t>
  </si>
  <si>
    <t xml:space="preserve">BANK-102</t>
  </si>
  <si>
    <t xml:space="preserve">FT-ACC-001</t>
  </si>
  <si>
    <t xml:space="preserve">Account Summary</t>
  </si>
  <si>
    <t xml:space="preserve">Dashboard balance matches core banking</t>
  </si>
  <si>
    <t xml:space="preserve">Logged in; savings a/c active</t>
  </si>
  <si>
    <t xml:space="preserve">1. Open Account Summary
2. Compare balance with CBS/DB value</t>
  </si>
  <si>
    <t xml:space="preserve">A/c 50010012345, balance ₹75,250.50</t>
  </si>
  <si>
    <t xml:space="preserve">Available balance = ₹75,250.50</t>
  </si>
  <si>
    <t xml:space="preserve">FT-BEN-001</t>
  </si>
  <si>
    <t xml:space="preserve">Beneficiary</t>
  </si>
  <si>
    <t xml:space="preserve">Add beneficiary with valid IFSC</t>
  </si>
  <si>
    <t xml:space="preserve">Logged in</t>
  </si>
  <si>
    <t xml:space="preserve">1. Payees &gt; Add Beneficiary
2. Enter details
3. Verify with OTP</t>
  </si>
  <si>
    <t xml:space="preserve">Ravi Kumar / 60021345678 / HDFC0001234</t>
  </si>
  <si>
    <t xml:space="preserve">Beneficiary added; status 'Active after cooling period'</t>
  </si>
  <si>
    <t xml:space="preserve">FT-BEN-002</t>
  </si>
  <si>
    <t xml:space="preserve">Invalid IFSC format rejected</t>
  </si>
  <si>
    <t xml:space="preserve">Medium</t>
  </si>
  <si>
    <t xml:space="preserve">1. Add beneficiary with malformed IFSC</t>
  </si>
  <si>
    <t xml:space="preserve">IFSC: HDFC1234</t>
  </si>
  <si>
    <t xml:space="preserve">Error 'Invalid IFSC code'; not saved</t>
  </si>
  <si>
    <t xml:space="preserve">FT-FT-001</t>
  </si>
  <si>
    <t xml:space="preserve">Fund Transfer</t>
  </si>
  <si>
    <t xml:space="preserve">IMPS transfer to registered beneficiary</t>
  </si>
  <si>
    <t xml:space="preserve">Active beneficiary; sufficient balance</t>
  </si>
  <si>
    <t xml:space="preserve">1. Fund Transfer &gt; IMPS
2. Select beneficiary, enter amount
3. Confirm + OTP</t>
  </si>
  <si>
    <t xml:space="preserve">Amount ₹5,000</t>
  </si>
  <si>
    <t xml:space="preserve">Txn SUCCESS; reference no. generated; balance debited ₹5,000</t>
  </si>
  <si>
    <t xml:space="preserve">As expected; ref IMPS2609230001</t>
  </si>
  <si>
    <t xml:space="preserve">FT-FT-002</t>
  </si>
  <si>
    <t xml:space="preserve">Amount greater than available balance</t>
  </si>
  <si>
    <t xml:space="preserve">Balance ₹75,250.50</t>
  </si>
  <si>
    <t xml:space="preserve">1. Enter amount above balance
2. Submit</t>
  </si>
  <si>
    <t xml:space="preserve">Amount ₹1,00,000</t>
  </si>
  <si>
    <t xml:space="preserve">'Insufficient balance' error; no debit</t>
  </si>
  <si>
    <t xml:space="preserve">FT-FT-003</t>
  </si>
  <si>
    <t xml:space="preserve">Transfer to own account blocked</t>
  </si>
  <si>
    <t xml:space="preserve">1. Select own a/c as beneficiary
2. Submit</t>
  </si>
  <si>
    <t xml:space="preserve">From = To = 50010012345</t>
  </si>
  <si>
    <t xml:space="preserve">Validation error; transfer not allowed</t>
  </si>
  <si>
    <t xml:space="preserve">FT-FT-004</t>
  </si>
  <si>
    <t xml:space="preserve">Zero / negative / non-numeric amount</t>
  </si>
  <si>
    <t xml:space="preserve">1. Enter invalid amounts
2. Submit</t>
  </si>
  <si>
    <t xml:space="preserve">0, -100, abc</t>
  </si>
  <si>
    <t xml:space="preserve">Field-level validation messages; submit blocked</t>
  </si>
  <si>
    <t xml:space="preserve">FT-FT-005</t>
  </si>
  <si>
    <t xml:space="preserve">Daily transfer limit (₹1,00,000) enforced</t>
  </si>
  <si>
    <t xml:space="preserve">Fresh day; no prior transfers</t>
  </si>
  <si>
    <t xml:space="preserve">1. Transfer ₹40,000
2. Transfer ₹40,000
3. Transfer ₹40,000</t>
  </si>
  <si>
    <t xml:space="preserve">3 x ₹40,000 same day</t>
  </si>
  <si>
    <t xml:space="preserve">3rd transfer rejected: 'Daily limit exceeded'</t>
  </si>
  <si>
    <t xml:space="preserve">3rd transfer succeeded; ₹1,20,000 debited in a day</t>
  </si>
  <si>
    <t xml:space="preserve">BANK-101</t>
  </si>
  <si>
    <t xml:space="preserve">FT-FT-006</t>
  </si>
  <si>
    <t xml:space="preserve">Double-click on Confirm creates single txn</t>
  </si>
  <si>
    <t xml:space="preserve">Active beneficiary</t>
  </si>
  <si>
    <t xml:space="preserve">1. Enter ₹2,500
2. Double-click Confirm quickly</t>
  </si>
  <si>
    <t xml:space="preserve">Amount ₹2,500</t>
  </si>
  <si>
    <t xml:space="preserve">Only one transaction and one debit</t>
  </si>
  <si>
    <t xml:space="preserve">Two transactions; ₹5,000 debited</t>
  </si>
  <si>
    <t xml:space="preserve">BANK-103</t>
  </si>
  <si>
    <t xml:space="preserve">FT-FT-007</t>
  </si>
  <si>
    <t xml:space="preserve">Transaction receipt content</t>
  </si>
  <si>
    <t xml:space="preserve">Successful transfer</t>
  </si>
  <si>
    <t xml:space="preserve">1. Open receipt after transfer</t>
  </si>
  <si>
    <t xml:space="preserve">Txn IMPS2609230001</t>
  </si>
  <si>
    <t xml:space="preserve">Receipt shows ref no., date-time, amount, beneficiary, status</t>
  </si>
  <si>
    <t xml:space="preserve">FT-FT-008</t>
  </si>
  <si>
    <t xml:space="preserve">New-beneficiary limit (₹50,000) in cooling period</t>
  </si>
  <si>
    <t xml:space="preserve">Beneficiary added &lt; 24 hrs ago</t>
  </si>
  <si>
    <t xml:space="preserve">1. Transfer amount above ₹50,000</t>
  </si>
  <si>
    <t xml:space="preserve">Amount ₹60,000</t>
  </si>
  <si>
    <t xml:space="preserve">Rejected with limit message</t>
  </si>
  <si>
    <t xml:space="preserve">FT-BILL-001</t>
  </si>
  <si>
    <t xml:space="preserve">Bill Payment</t>
  </si>
  <si>
    <t xml:space="preserve">Pay electricity bill</t>
  </si>
  <si>
    <t xml:space="preserve">Biller registered</t>
  </si>
  <si>
    <t xml:space="preserve">1. Bill Pay &gt; Electricity
2. Enter consumer no. &amp; amount
3. Confirm</t>
  </si>
  <si>
    <t xml:space="preserve">Consumer 1234567890 / ₹1,840</t>
  </si>
  <si>
    <t xml:space="preserve">Bill paid; receipt generated; debit posted</t>
  </si>
  <si>
    <t xml:space="preserve">FT-STM-001</t>
  </si>
  <si>
    <t xml:space="preserve">Statement</t>
  </si>
  <si>
    <t xml:space="preserve">Mini statement shows last 10 txns (newest first)</t>
  </si>
  <si>
    <t xml:space="preserve">Account has &gt; 10 txns</t>
  </si>
  <si>
    <t xml:space="preserve">1. Open Mini Statement</t>
  </si>
  <si>
    <t xml:space="preserve">A/c 50010012345</t>
  </si>
  <si>
    <t xml:space="preserve">10 rows in descending date order</t>
  </si>
  <si>
    <t xml:space="preserve">FT-STM-002</t>
  </si>
  <si>
    <t xml:space="preserve">Download PDF statement for date range</t>
  </si>
  <si>
    <t xml:space="preserve">Txns exist on 30-Sep</t>
  </si>
  <si>
    <t xml:space="preserve">1. Statement &gt; Custom range
2. Download PDF</t>
  </si>
  <si>
    <t xml:space="preserve">01-Sep-2026 to 30-Sep-2026</t>
  </si>
  <si>
    <t xml:space="preserve">PDF has all txns including 30-Sep</t>
  </si>
  <si>
    <t xml:space="preserve">Txns dated 30-Sep missing (12 vs 14 rows)</t>
  </si>
  <si>
    <t xml:space="preserve">BANK-104</t>
  </si>
  <si>
    <t xml:space="preserve">FT-SEC-001</t>
  </si>
  <si>
    <t xml:space="preserve">Security</t>
  </si>
  <si>
    <t xml:space="preserve">Session timeout after 5 minutes idle</t>
  </si>
  <si>
    <t xml:space="preserve">1. Stay idle 5 min
2. Click any menu</t>
  </si>
  <si>
    <t xml:space="preserve">Idle 5 min</t>
  </si>
  <si>
    <t xml:space="preserve">Session expires; redirected to login</t>
  </si>
  <si>
    <t xml:space="preserve">FT-SEC-002</t>
  </si>
  <si>
    <t xml:space="preserve">Back button after logout</t>
  </si>
  <si>
    <t xml:space="preserve">1. Logout
2. Press browser Back</t>
  </si>
  <si>
    <t xml:space="preserve">-</t>
  </si>
  <si>
    <t xml:space="preserve">Login page shown; no account data visible</t>
  </si>
  <si>
    <t xml:space="preserve">FT-NOT-001</t>
  </si>
  <si>
    <t xml:space="preserve">Notification</t>
  </si>
  <si>
    <t xml:space="preserve">SMS/email alert on debit</t>
  </si>
  <si>
    <t xml:space="preserve">Successful transfer done</t>
  </si>
  <si>
    <t xml:space="preserve">1. Check SMS and email after transfer</t>
  </si>
  <si>
    <t xml:space="preserve">Registered mobile/email</t>
  </si>
  <si>
    <t xml:space="preserve">SMS + email with amount &amp; ref received</t>
  </si>
  <si>
    <t xml:space="preserve">SMS gateway (UAT) down; unable to verify</t>
  </si>
  <si>
    <t xml:space="preserve">Charter ID</t>
  </si>
  <si>
    <t xml:space="preserve">Charter (mission)</t>
  </si>
  <si>
    <t xml:space="preserve">Time-box</t>
  </si>
  <si>
    <t xml:space="preserve">Tester</t>
  </si>
  <si>
    <t xml:space="preserve">Notes / Observations</t>
  </si>
  <si>
    <t xml:space="preserve">EX-001</t>
  </si>
  <si>
    <t xml:space="preserve">Explore the amount field with unusual inputs (scientific notation, pasted symbols, very large values) to find validation gaps</t>
  </si>
  <si>
    <t xml:space="preserve">60 min</t>
  </si>
  <si>
    <t xml:space="preserve">Amount '1e3' accepted and processed as ₹1,000; no client-side validation. Large values &gt;₹10 crore correctly rejected.</t>
  </si>
  <si>
    <t xml:space="preserve">BANK-106</t>
  </si>
  <si>
    <t xml:space="preserve">Completed</t>
  </si>
  <si>
    <t xml:space="preserve">EX-002</t>
  </si>
  <si>
    <t xml:space="preserve">Session &amp; Navigation</t>
  </si>
  <si>
    <t xml:space="preserve">Explore multi-tab use, back/forward, and concurrent login from 2 devices</t>
  </si>
  <si>
    <t xml:space="preserve">45 min</t>
  </si>
  <si>
    <t xml:space="preserve">Concurrent login on two devices allowed - clarify with BA whether expected. Back/forward behaved correctly.</t>
  </si>
  <si>
    <t xml:space="preserve">EX-003</t>
  </si>
  <si>
    <t xml:space="preserve">Network Interruption</t>
  </si>
  <si>
    <t xml:space="preserve">Explore behaviour when network drops after clicking Confirm on a transfer</t>
  </si>
  <si>
    <t xml:space="preserve">Txn stuck in 'Processing'; customer debited but beneficiary not credited (no auto reversal).</t>
  </si>
  <si>
    <t xml:space="preserve">BANK-109</t>
  </si>
  <si>
    <t xml:space="preserve">EX-004</t>
  </si>
  <si>
    <t xml:space="preserve">Explore special characters, very long names and duplicate beneficiaries</t>
  </si>
  <si>
    <t xml:space="preserve">30 min</t>
  </si>
  <si>
    <t xml:space="preserve">Duplicates (same a/c + IFSC) blocked correctly. Emoji in name rejected. No issues.</t>
  </si>
  <si>
    <t xml:space="preserve">EX-005</t>
  </si>
  <si>
    <t xml:space="preserve">Statements</t>
  </si>
  <si>
    <t xml:space="preserve">Explore date-range edge cases (leap day, future dates, &gt; 12 months, from &gt; to)</t>
  </si>
  <si>
    <t xml:space="preserve">Future date and from &gt; to handled. See FT-STM-002 for end-date issue.</t>
  </si>
  <si>
    <t xml:space="preserve">EX-006</t>
  </si>
  <si>
    <t xml:space="preserve">OTP Flow</t>
  </si>
  <si>
    <t xml:space="preserve">Explore refresh / back / resend OTP repeatedly during login</t>
  </si>
  <si>
    <t xml:space="preserve">Planned for next build</t>
  </si>
  <si>
    <t xml:space="preserve">Planned</t>
  </si>
  <si>
    <t xml:space="preserve">Test ID</t>
  </si>
  <si>
    <t xml:space="preserve">Page / Feature</t>
  </si>
  <si>
    <t xml:space="preserve">Chrome (latest)</t>
  </si>
  <si>
    <t xml:space="preserve">Firefox (latest)</t>
  </si>
  <si>
    <t xml:space="preserve">Edge (latest)</t>
  </si>
  <si>
    <t xml:space="preserve">Safari (macOS)</t>
  </si>
  <si>
    <t xml:space="preserve">Chrome (Android)</t>
  </si>
  <si>
    <t xml:space="preserve">Safari (iOS)</t>
  </si>
  <si>
    <t xml:space="preserve">Remarks</t>
  </si>
  <si>
    <t xml:space="preserve">CB-001</t>
  </si>
  <si>
    <t xml:space="preserve">Login page + OTP</t>
  </si>
  <si>
    <t xml:space="preserve">Login with valid user and OTP</t>
  </si>
  <si>
    <t xml:space="preserve">Login succeeds; layout intact</t>
  </si>
  <si>
    <t xml:space="preserve">CB-002</t>
  </si>
  <si>
    <t xml:space="preserve">Dashboard</t>
  </si>
  <si>
    <t xml:space="preserve">Open Account Summary</t>
  </si>
  <si>
    <t xml:space="preserve">Balance cards, menu and icons render correctly</t>
  </si>
  <si>
    <t xml:space="preserve">CB-003</t>
  </si>
  <si>
    <t xml:space="preserve">IMPS Fund Transfer</t>
  </si>
  <si>
    <t xml:space="preserve">Fill form and click Confirm</t>
  </si>
  <si>
    <t xml:space="preserve">Confirm button responds; OTP prompt appears</t>
  </si>
  <si>
    <t xml:space="preserve">BANK-105</t>
  </si>
  <si>
    <t xml:space="preserve">Safari (macOS): Confirm button unresponsive after amount entry</t>
  </si>
  <si>
    <t xml:space="preserve">CB-004</t>
  </si>
  <si>
    <t xml:space="preserve">Add Beneficiary</t>
  </si>
  <si>
    <t xml:space="preserve">Submit beneficiary form</t>
  </si>
  <si>
    <t xml:space="preserve">Validations show; beneficiary saved</t>
  </si>
  <si>
    <t xml:space="preserve">CB-005</t>
  </si>
  <si>
    <t xml:space="preserve">Statement download</t>
  </si>
  <si>
    <t xml:space="preserve">Download PDF statement</t>
  </si>
  <si>
    <t xml:space="preserve">PDF downloads and opens</t>
  </si>
  <si>
    <t xml:space="preserve">CB-006</t>
  </si>
  <si>
    <t xml:space="preserve">Select biller and pay</t>
  </si>
  <si>
    <t xml:space="preserve">Payment succeeds; receipt renders</t>
  </si>
  <si>
    <t xml:space="preserve">iOS device not available this cycle</t>
  </si>
  <si>
    <t xml:space="preserve">Device</t>
  </si>
  <si>
    <t xml:space="preserve">Viewport (px)</t>
  </si>
  <si>
    <t xml:space="preserve">Orientation</t>
  </si>
  <si>
    <t xml:space="preserve">Page</t>
  </si>
  <si>
    <t xml:space="preserve">What is checked</t>
  </si>
  <si>
    <t xml:space="preserve">RS-001</t>
  </si>
  <si>
    <t xml:space="preserve">Desktop Full HD</t>
  </si>
  <si>
    <t xml:space="preserve">1920x1080</t>
  </si>
  <si>
    <t xml:space="preserve">Landscape</t>
  </si>
  <si>
    <t xml:space="preserve">Layout, menu and cards align</t>
  </si>
  <si>
    <t xml:space="preserve">No overlap; content centred</t>
  </si>
  <si>
    <t xml:space="preserve">RS-002</t>
  </si>
  <si>
    <t xml:space="preserve">Laptop</t>
  </si>
  <si>
    <t xml:space="preserve">1366x768</t>
  </si>
  <si>
    <t xml:space="preserve">Form fits without horizontal scroll</t>
  </si>
  <si>
    <t xml:space="preserve">No horizontal scroll</t>
  </si>
  <si>
    <t xml:space="preserve">RS-003</t>
  </si>
  <si>
    <t xml:space="preserve">iPhone SE</t>
  </si>
  <si>
    <t xml:space="preserve">375x667</t>
  </si>
  <si>
    <t xml:space="preserve">Portrait</t>
  </si>
  <si>
    <t xml:space="preserve">Balance card readable</t>
  </si>
  <si>
    <t xml:space="preserve">Balance and account no. not overlapping</t>
  </si>
  <si>
    <t xml:space="preserve">Balance amount overlaps account number</t>
  </si>
  <si>
    <t xml:space="preserve">BANK-107</t>
  </si>
  <si>
    <t xml:space="preserve">RS-004</t>
  </si>
  <si>
    <t xml:space="preserve">iPhone 14</t>
  </si>
  <si>
    <t xml:space="preserve">390x844</t>
  </si>
  <si>
    <t xml:space="preserve">Confirm button reachable with keyboard open</t>
  </si>
  <si>
    <t xml:space="preserve">Button visible without zoom</t>
  </si>
  <si>
    <t xml:space="preserve">RS-005</t>
  </si>
  <si>
    <t xml:space="preserve">iPad</t>
  </si>
  <si>
    <t xml:space="preserve">768x1024</t>
  </si>
  <si>
    <t xml:space="preserve">Transaction table usable</t>
  </si>
  <si>
    <t xml:space="preserve">Table scrolls inside container</t>
  </si>
  <si>
    <t xml:space="preserve">RS-006</t>
  </si>
  <si>
    <t xml:space="preserve">1024x768</t>
  </si>
  <si>
    <t xml:space="preserve">Menu collapses / expands</t>
  </si>
  <si>
    <t xml:space="preserve">Menu usable by touch</t>
  </si>
  <si>
    <t xml:space="preserve">RS-007</t>
  </si>
  <si>
    <t xml:space="preserve">Pixel 7</t>
  </si>
  <si>
    <t xml:space="preserve">412x915</t>
  </si>
  <si>
    <t xml:space="preserve">Login OTP</t>
  </si>
  <si>
    <t xml:space="preserve">Numeric keypad and OTP auto-fill</t>
  </si>
  <si>
    <t xml:space="preserve">Numeric keypad shown</t>
  </si>
  <si>
    <t xml:space="preserve">RS-008</t>
  </si>
  <si>
    <t xml:space="preserve">Android small</t>
  </si>
  <si>
    <t xml:space="preserve">360x640</t>
  </si>
  <si>
    <t xml:space="preserve">Beneficiary list</t>
  </si>
  <si>
    <t xml:space="preserve">List items and action buttons visible</t>
  </si>
  <si>
    <t xml:space="preserve">No truncation of names</t>
  </si>
  <si>
    <t xml:space="preserve">RS-009</t>
  </si>
  <si>
    <t xml:space="preserve">667x375</t>
  </si>
  <si>
    <t xml:space="preserve">Login form visible without clipping</t>
  </si>
  <si>
    <t xml:space="preserve">Form scrollable</t>
  </si>
  <si>
    <t xml:space="preserve">Defect ID (JIRA Key)</t>
  </si>
  <si>
    <t xml:space="preserve">Summary</t>
  </si>
  <si>
    <t xml:space="preserve">Description</t>
  </si>
  <si>
    <t xml:space="preserve">Steps to Reproduce</t>
  </si>
  <si>
    <t xml:space="preserve">Severity</t>
  </si>
  <si>
    <t xml:space="preserve">Type (Classification)</t>
  </si>
  <si>
    <t xml:space="preserve">Component</t>
  </si>
  <si>
    <t xml:space="preserve">Environment / Build</t>
  </si>
  <si>
    <t xml:space="preserve">Labels</t>
  </si>
  <si>
    <t xml:space="preserve">Reported By</t>
  </si>
  <si>
    <t xml:space="preserve">Reported On</t>
  </si>
  <si>
    <t xml:space="preserve">Linked Test Case(s)</t>
  </si>
  <si>
    <t xml:space="preserve">Evidence (attachments)</t>
  </si>
  <si>
    <t xml:space="preserve">Assignee</t>
  </si>
  <si>
    <t xml:space="preserve">Daily transfer limit (₹1,00,000) not enforced for cumulative IMPS transfers</t>
  </si>
  <si>
    <t xml:space="preserve">Only per-transaction limit is validated; cumulative daily total is never checked.</t>
  </si>
  <si>
    <t xml:space="preserve">1. Login as cust1001
2. Transfer ₹40,000 to Ravi Kumar three times on the same day
3. Observe the third transfer</t>
  </si>
  <si>
    <t xml:space="preserve">Third transfer rejected: 'Daily limit exceeded'</t>
  </si>
  <si>
    <t xml:space="preserve">Third transfer succeeded; ₹1,20,000 debited in one day</t>
  </si>
  <si>
    <t xml:space="preserve">Highest</t>
  </si>
  <si>
    <t xml:space="preserve">Functional - Business Rule</t>
  </si>
  <si>
    <t xml:space="preserve">UAT | Build 2026.09.3 | Chrome</t>
  </si>
  <si>
    <t xml:space="preserve">banking, limits, regression</t>
  </si>
  <si>
    <t xml:space="preserve">FT-FT-005, DB-014</t>
  </si>
  <si>
    <t xml:space="preserve">BANK-101_screenshot.png; BANK-101_sql_result.png</t>
  </si>
  <si>
    <t xml:space="preserve">Payments Dev</t>
  </si>
  <si>
    <t xml:space="preserve">OTP accepted after 5-minute expiry</t>
  </si>
  <si>
    <t xml:space="preserve">Backend does not validate OTP timestamp; expired OTP still verifies.</t>
  </si>
  <si>
    <t xml:space="preserve">1. Login and receive OTP
2. Wait 6 minutes
3. Enter the same OTP</t>
  </si>
  <si>
    <t xml:space="preserve">'OTP expired' error</t>
  </si>
  <si>
    <t xml:space="preserve">Login successful</t>
  </si>
  <si>
    <t xml:space="preserve">Authentication</t>
  </si>
  <si>
    <t xml:space="preserve">security, otp</t>
  </si>
  <si>
    <t xml:space="preserve">BANK-102_video.mp4; BANK-102_postman_response.json</t>
  </si>
  <si>
    <t xml:space="preserve">Auth Dev</t>
  </si>
  <si>
    <t xml:space="preserve">Duplicate debit when Confirm is double-clicked</t>
  </si>
  <si>
    <t xml:space="preserve">No idempotency check on /transfers; UI button not disabled after first click.</t>
  </si>
  <si>
    <t xml:space="preserve">1. Enter ₹2,500
2. Double-click Confirm rapidly</t>
  </si>
  <si>
    <t xml:space="preserve">One transaction, one debit</t>
  </si>
  <si>
    <t xml:space="preserve">Two transactions with same idempotency key; ₹5,000 debited</t>
  </si>
  <si>
    <t xml:space="preserve">Functional - Data Integrity</t>
  </si>
  <si>
    <t xml:space="preserve">banking, duplicate, idempotency</t>
  </si>
  <si>
    <t xml:space="preserve">FT-FT-006, API-009, DB-010</t>
  </si>
  <si>
    <t xml:space="preserve">BANK-103_screenshot.png; BANK-103_sql_result.png</t>
  </si>
  <si>
    <t xml:space="preserve">Statement PDF / API omits transactions dated on the end date</t>
  </si>
  <si>
    <t xml:space="preserve">Date filter uses '&lt; end_date' instead of '&lt; end_date + 1 day'.</t>
  </si>
  <si>
    <t xml:space="preserve">1. Statement &gt; Custom range 01-Sep to 30-Sep
2. Download PDF
3. Compare with DB count</t>
  </si>
  <si>
    <t xml:space="preserve">14 transactions listed</t>
  </si>
  <si>
    <t xml:space="preserve">12 transactions; all 30-Sep entries missing</t>
  </si>
  <si>
    <t xml:space="preserve">Functional</t>
  </si>
  <si>
    <t xml:space="preserve">statement, date-filter</t>
  </si>
  <si>
    <t xml:space="preserve">FT-STM-002, API-012, DB-005</t>
  </si>
  <si>
    <t xml:space="preserve">BANK-104_statement.pdf; BANK-104_sql_result.png</t>
  </si>
  <si>
    <t xml:space="preserve">Backend Dev</t>
  </si>
  <si>
    <t xml:space="preserve">Confirm button unresponsive on Fund Transfer page in Safari (macOS)</t>
  </si>
  <si>
    <t xml:space="preserve">Click handler bound to an unsupported event in Safari.</t>
  </si>
  <si>
    <t xml:space="preserve">1. Open Fund Transfer in Safari (macOS)
2. Enter amount and click Confirm</t>
  </si>
  <si>
    <t xml:space="preserve">OTP prompt appears</t>
  </si>
  <si>
    <t xml:space="preserve">Nothing happens; console error logged</t>
  </si>
  <si>
    <t xml:space="preserve">Compatibility</t>
  </si>
  <si>
    <t xml:space="preserve">UAT | Build 2026.09.3 | Safari 17 / macOS</t>
  </si>
  <si>
    <t xml:space="preserve">cross-browser, safari</t>
  </si>
  <si>
    <t xml:space="preserve">BANK-105_console.png</t>
  </si>
  <si>
    <t xml:space="preserve">UI Dev</t>
  </si>
  <si>
    <t xml:space="preserve">Amount field accepts scientific notation ('1e3')</t>
  </si>
  <si>
    <t xml:space="preserve">No client-side numeric pattern; server parses '1e3' as 1000.</t>
  </si>
  <si>
    <t xml:space="preserve">1. Open IMPS transfer
2. Enter 1e3 in Amount
3. Submit</t>
  </si>
  <si>
    <t xml:space="preserve">Validation error</t>
  </si>
  <si>
    <t xml:space="preserve">Accepted and processed as ₹1,000</t>
  </si>
  <si>
    <t xml:space="preserve">Functional - Validation</t>
  </si>
  <si>
    <t xml:space="preserve">validation, exploratory</t>
  </si>
  <si>
    <t xml:space="preserve">BANK-106_screenshot.png</t>
  </si>
  <si>
    <t xml:space="preserve">Balance overlaps account number on 375px screens</t>
  </si>
  <si>
    <t xml:space="preserve">CSS card layout breaks below 380px.</t>
  </si>
  <si>
    <t xml:space="preserve">1. Open Dashboard on iPhone SE (375x667)</t>
  </si>
  <si>
    <t xml:space="preserve">Balance and account number on separate lines</t>
  </si>
  <si>
    <t xml:space="preserve">Text overlaps</t>
  </si>
  <si>
    <t xml:space="preserve">Low</t>
  </si>
  <si>
    <t xml:space="preserve">UI / Responsive</t>
  </si>
  <si>
    <t xml:space="preserve">UAT | Build 2026.09.3 | iOS Safari</t>
  </si>
  <si>
    <t xml:space="preserve">responsive, ui</t>
  </si>
  <si>
    <t xml:space="preserve">BANK-107_screenshot.png</t>
  </si>
  <si>
    <t xml:space="preserve">BANK-108</t>
  </si>
  <si>
    <t xml:space="preserve">API returns another customer's balance (IDOR)</t>
  </si>
  <si>
    <t xml:space="preserve">Balance API trusts accountId in URL without checking ownership against token.</t>
  </si>
  <si>
    <t xml:space="preserve">1. Login as cust1001 and get token
2. GET /accounts/50010099999/balance (belongs to cust1002)</t>
  </si>
  <si>
    <t xml:space="preserve">403 Forbidden</t>
  </si>
  <si>
    <t xml:space="preserve">200 OK with cust1002's balance</t>
  </si>
  <si>
    <t xml:space="preserve">Accounts API</t>
  </si>
  <si>
    <t xml:space="preserve">UAT | Build 2026.09.3 | Postman</t>
  </si>
  <si>
    <t xml:space="preserve">security, api, owasp</t>
  </si>
  <si>
    <t xml:space="preserve">API-010</t>
  </si>
  <si>
    <t xml:space="preserve">BANK-108_postman_response.json; BANK-108_screenshot.png</t>
  </si>
  <si>
    <t xml:space="preserve">Accounts Dev</t>
  </si>
  <si>
    <t xml:space="preserve">Customer debited but no credit/reversal when gateway times out</t>
  </si>
  <si>
    <t xml:space="preserve">On timeout the txn stays INITIATED; DR ledger entry posted but CR / reversal never runs.</t>
  </si>
  <si>
    <t xml:space="preserve">1. Start IMPS transfer ₹1,000
2. Cut network after Confirm (or use gateway-timeout stub)
3. Check ledger</t>
  </si>
  <si>
    <t xml:space="preserve">Auto reversal; balance restored</t>
  </si>
  <si>
    <t xml:space="preserve">Balance reduced ₹1,000; txn stuck INITIATED; ledger has DR only</t>
  </si>
  <si>
    <t xml:space="preserve">Payment Gateway / Ledger</t>
  </si>
  <si>
    <t xml:space="preserve">UAT | Build 2026.09.3 | Chrome + gateway stub</t>
  </si>
  <si>
    <t xml:space="preserve">banking, reversal, ledger</t>
  </si>
  <si>
    <t xml:space="preserve">EX-003, IT-004, E2E-002, DB-015</t>
  </si>
  <si>
    <t xml:space="preserve">BANK-109_sql_result.png; BANK-109_gateway_log.txt</t>
  </si>
  <si>
    <t xml:space="preserve">Core Banking Dev</t>
  </si>
  <si>
    <t xml:space="preserve">JIRA Bug Logging Guide - Classification &amp; Template</t>
  </si>
  <si>
    <t xml:space="preserve">Use with the 'Defect Log' sheet. Values are examples for a banking application; align with your JIRA project scheme.</t>
  </si>
  <si>
    <t xml:space="preserve">SEVERITY (impact on the system)</t>
  </si>
  <si>
    <t xml:space="preserve">Money movement, security or data integrity broken; no workaround</t>
  </si>
  <si>
    <t xml:space="preserve">Duplicate debit, IDOR exposing balances, debit without credit</t>
  </si>
  <si>
    <t xml:space="preserve">Key function fails or wrong data; workaround exists</t>
  </si>
  <si>
    <t xml:space="preserve">Statement missing transactions, OTP expiry not enforced</t>
  </si>
  <si>
    <t xml:space="preserve">Small functional / validation issue, low business risk</t>
  </si>
  <si>
    <t xml:space="preserve">Scientific notation accepted in amount field</t>
  </si>
  <si>
    <t xml:space="preserve">Cosmetic / text issue</t>
  </si>
  <si>
    <t xml:space="preserve">Alignment, typo, colour</t>
  </si>
  <si>
    <t xml:space="preserve">PRIORITY (order of fixing)</t>
  </si>
  <si>
    <t xml:space="preserve">Fix immediately; blocks release</t>
  </si>
  <si>
    <t xml:space="preserve">Any Critical money / security defect</t>
  </si>
  <si>
    <t xml:space="preserve">Fix in current sprint</t>
  </si>
  <si>
    <t xml:space="preserve">Major defects on core flows</t>
  </si>
  <si>
    <t xml:space="preserve">Fix in upcoming sprint</t>
  </si>
  <si>
    <t xml:space="preserve">Validation gaps</t>
  </si>
  <si>
    <t xml:space="preserve">Fix when capacity allows</t>
  </si>
  <si>
    <t xml:space="preserve">UI polish</t>
  </si>
  <si>
    <t xml:space="preserve">TYPE / CLASSIFICATION</t>
  </si>
  <si>
    <t xml:space="preserve">Functional / Business Rule</t>
  </si>
  <si>
    <t xml:space="preserve">Wrong behaviour vs requirement</t>
  </si>
  <si>
    <t xml:space="preserve">Daily limit</t>
  </si>
  <si>
    <t xml:space="preserve">Data Integrity</t>
  </si>
  <si>
    <t xml:space="preserve">DB / ledger inconsistency</t>
  </si>
  <si>
    <t xml:space="preserve">Orphan debit</t>
  </si>
  <si>
    <t xml:space="preserve">Auth, authorisation, data exposure</t>
  </si>
  <si>
    <t xml:space="preserve">OTP, IDOR</t>
  </si>
  <si>
    <t xml:space="preserve">Compatibility / UI / Performance</t>
  </si>
  <si>
    <t xml:space="preserve">Browser, device, layout or speed</t>
  </si>
  <si>
    <t xml:space="preserve">Safari, 375px</t>
  </si>
  <si>
    <t xml:space="preserve">BUG REPORT CHECKLIST</t>
  </si>
  <si>
    <t xml:space="preserve">One line: what is wrong + where</t>
  </si>
  <si>
    <t xml:space="preserve">Steps to reproduce</t>
  </si>
  <si>
    <t xml:space="preserve">Numbered; include test data and user ID</t>
  </si>
  <si>
    <t xml:space="preserve">Expected vs Actual</t>
  </si>
  <si>
    <t xml:space="preserve">Reference requirement / BRD ID if available</t>
  </si>
  <si>
    <t xml:space="preserve">Environment</t>
  </si>
  <si>
    <t xml:space="preserve">Env, build no., browser / device, API version</t>
  </si>
  <si>
    <t xml:space="preserve">Evidence</t>
  </si>
  <si>
    <t xml:space="preserve">Screenshot, video, HAR / console log, Postman response, SQL result</t>
  </si>
  <si>
    <t xml:space="preserve">Links</t>
  </si>
  <si>
    <t xml:space="preserve">Link to test case (TC ID), requirement, and related defects using JIRA 'Issue Links'</t>
  </si>
  <si>
    <t xml:space="preserve">WORKFLOW</t>
  </si>
  <si>
    <t xml:space="preserve">Open &gt; In Progress &gt; Ready for Retest &gt; Closed</t>
  </si>
  <si>
    <t xml:space="preserve">Reopen if retest fails and add comment with new evidence</t>
  </si>
  <si>
    <t xml:space="preserve">Modules Integrated</t>
  </si>
  <si>
    <t xml:space="preserve">IT-001</t>
  </si>
  <si>
    <t xml:space="preserve">Fund Transfer &lt;&gt; Core Banking (CBS)</t>
  </si>
  <si>
    <t xml:space="preserve">Debit posted in CBS after successful transfer</t>
  </si>
  <si>
    <t xml:space="preserve">UI &gt; Transfer API &gt; CBS debit &gt; Ledger</t>
  </si>
  <si>
    <t xml:space="preserve">CBS debit ₹5,000; ledger DR + CR; balance updated</t>
  </si>
  <si>
    <t xml:space="preserve">IT-002</t>
  </si>
  <si>
    <t xml:space="preserve">Fund Transfer &lt;&gt; Notification Service</t>
  </si>
  <si>
    <t xml:space="preserve">SMS and email sent after debit</t>
  </si>
  <si>
    <t xml:space="preserve">Txn SUCCESS event &gt; Notification queue &gt; SMS/Email gateway</t>
  </si>
  <si>
    <t xml:space="preserve">SMS + email within 30 sec with correct amount and ref</t>
  </si>
  <si>
    <t xml:space="preserve">SMS gateway UAT down</t>
  </si>
  <si>
    <t xml:space="preserve">IT-003</t>
  </si>
  <si>
    <t xml:space="preserve">Login &lt;&gt; OTP Gateway</t>
  </si>
  <si>
    <t xml:space="preserve">OTP generated and delivered at login</t>
  </si>
  <si>
    <t xml:space="preserve">Login API &gt; OTP service &gt; SMS gateway &gt; Verify API</t>
  </si>
  <si>
    <t xml:space="preserve">Mobile 98XXXXXX01</t>
  </si>
  <si>
    <t xml:space="preserve">OTP delivered; valid for 5 minutes; single use</t>
  </si>
  <si>
    <t xml:space="preserve">OTP delivered; reuse rejected</t>
  </si>
  <si>
    <t xml:space="preserve">IT-004</t>
  </si>
  <si>
    <t xml:space="preserve">Fund Transfer &lt;&gt; IMPS Switch (NPCI stub)</t>
  </si>
  <si>
    <t xml:space="preserve">Gateway timeout handling</t>
  </si>
  <si>
    <t xml:space="preserve">Transfer API &gt; IMPS switch (timeout stub) &gt; Reversal job</t>
  </si>
  <si>
    <t xml:space="preserve">Amount ₹1,000; stub delay 60 sec</t>
  </si>
  <si>
    <t xml:space="preserve">Txn FAILED and amount auto-reversed within 5 min</t>
  </si>
  <si>
    <t xml:space="preserve">Txn stuck INITIATED; no reversal</t>
  </si>
  <si>
    <t xml:space="preserve">IT-005</t>
  </si>
  <si>
    <t xml:space="preserve">Beneficiary &lt;&gt; IFSC Validation Service</t>
  </si>
  <si>
    <t xml:space="preserve">Validate IFSC and fetch bank / branch</t>
  </si>
  <si>
    <t xml:space="preserve">Add Beneficiary UI &gt; IFSC API &gt; Bank master</t>
  </si>
  <si>
    <t xml:space="preserve">HDFC0001234</t>
  </si>
  <si>
    <t xml:space="preserve">Bank name and branch auto-filled</t>
  </si>
  <si>
    <t xml:space="preserve">IT-006</t>
  </si>
  <si>
    <t xml:space="preserve">Bill Pay &lt;&gt; Biller Aggregator (BBPS stub)</t>
  </si>
  <si>
    <t xml:space="preserve">Fetch bill and pay</t>
  </si>
  <si>
    <t xml:space="preserve">Bill Pay UI &gt; Aggregator fetch &gt; Pay &gt; CBS debit</t>
  </si>
  <si>
    <t xml:space="preserve">Consumer 1234567890</t>
  </si>
  <si>
    <t xml:space="preserve">Bill amount fetched; payment confirmed; debit posted</t>
  </si>
  <si>
    <t xml:space="preserve">IT-007</t>
  </si>
  <si>
    <t xml:space="preserve">Fund Transfer &lt;&gt; Fraud Engine</t>
  </si>
  <si>
    <t xml:space="preserve">High-value transfer flagged for review</t>
  </si>
  <si>
    <t xml:space="preserve">Transfer API &gt; Fraud rules &gt; Hold / Allow</t>
  </si>
  <si>
    <t xml:space="preserve">Amount ₹4,00,000 to new payee</t>
  </si>
  <si>
    <t xml:space="preserve">Txn held for verification; customer alerted</t>
  </si>
  <si>
    <t xml:space="preserve">IT-008</t>
  </si>
  <si>
    <t xml:space="preserve">Statement Service &lt;&gt; CBS</t>
  </si>
  <si>
    <t xml:space="preserve">Statement data matches core data</t>
  </si>
  <si>
    <t xml:space="preserve">Statement UI &gt; Statement API &gt; CBS transactions</t>
  </si>
  <si>
    <t xml:space="preserve">01-Sep to 30-Sep</t>
  </si>
  <si>
    <t xml:space="preserve">Same count and totals as CBS</t>
  </si>
  <si>
    <t xml:space="preserve">End-date txns missing</t>
  </si>
  <si>
    <t xml:space="preserve">Test Name</t>
  </si>
  <si>
    <t xml:space="preserve">Method</t>
  </si>
  <si>
    <t xml:space="preserve">Endpoint</t>
  </si>
  <si>
    <t xml:space="preserve">Headers</t>
  </si>
  <si>
    <t xml:space="preserve">Request Body</t>
  </si>
  <si>
    <t xml:space="preserve">Expected Status</t>
  </si>
  <si>
    <t xml:space="preserve">Postman Test Script (assertions)</t>
  </si>
  <si>
    <t xml:space="preserve">Actual Status</t>
  </si>
  <si>
    <t xml:space="preserve">Result</t>
  </si>
  <si>
    <t xml:space="preserve">API-001</t>
  </si>
  <si>
    <t xml:space="preserve">Login - valid credentials</t>
  </si>
  <si>
    <t xml:space="preserve">POST</t>
  </si>
  <si>
    <t xml:space="preserve">{{baseUrl}}/auth/login</t>
  </si>
  <si>
    <t xml:space="preserve">Content-Type: application/json</t>
  </si>
  <si>
    <t xml:space="preserve">{"userId":"cust1001","password":"Pass@1234"}</t>
  </si>
  <si>
    <t xml:space="preserve">200</t>
  </si>
  <si>
    <t xml:space="preserve">pm.test('Status 200', () =&gt; pm.response.to.have.status(200));
const j = pm.response.json();
pm.expect(j.otpRef).to.be.a('string');
pm.environment.set('otpRef', j.otpRef);</t>
  </si>
  <si>
    <t xml:space="preserve">API-002</t>
  </si>
  <si>
    <t xml:space="preserve">Login - wrong password</t>
  </si>
  <si>
    <t xml:space="preserve">{"userId":"cust1001","password":"Wrong@123"}</t>
  </si>
  <si>
    <t xml:space="preserve">401</t>
  </si>
  <si>
    <t xml:space="preserve">pm.test('Status 401', () =&gt; pm.response.to.have.status(401));
pm.expect(pm.response.json().code).to.eql('INVALID_CREDENTIALS');</t>
  </si>
  <si>
    <t xml:space="preserve">API-003</t>
  </si>
  <si>
    <t xml:space="preserve">Verify OTP - get token</t>
  </si>
  <si>
    <t xml:space="preserve">{{baseUrl}}/auth/otp/verify</t>
  </si>
  <si>
    <t xml:space="preserve">{"otpRef":"{{otpRef}}","otp":"482913"}</t>
  </si>
  <si>
    <t xml:space="preserve">pm.test('Status 200', () =&gt; pm.response.to.have.status(200));
pm.environment.set('token', pm.response.json().accessToken);</t>
  </si>
  <si>
    <t xml:space="preserve">API-004</t>
  </si>
  <si>
    <t xml:space="preserve">Get balance</t>
  </si>
  <si>
    <t xml:space="preserve">GET</t>
  </si>
  <si>
    <t xml:space="preserve">{{baseUrl}}/accounts/50010012345/balance</t>
  </si>
  <si>
    <t xml:space="preserve">Authorization: Bearer {{token}}</t>
  </si>
  <si>
    <t xml:space="preserve">pm.test('Status 200', () =&gt; pm.response.to.have.status(200));
const j = pm.response.json();
pm.expect(j.currency).to.eql('INR');
pm.expect(j.availableBalance).to.be.a('number');</t>
  </si>
  <si>
    <t xml:space="preserve">API-005</t>
  </si>
  <si>
    <t xml:space="preserve">Get balance - no token</t>
  </si>
  <si>
    <t xml:space="preserve">(none)</t>
  </si>
  <si>
    <t xml:space="preserve">pm.test('Status 401', () =&gt; pm.response.to.have.status(401));</t>
  </si>
  <si>
    <t xml:space="preserve">API-006</t>
  </si>
  <si>
    <t xml:space="preserve">Add beneficiary</t>
  </si>
  <si>
    <t xml:space="preserve">{{baseUrl}}/beneficiaries</t>
  </si>
  <si>
    <t xml:space="preserve">Authorization: Bearer {{token}}
Content-Type: application/json</t>
  </si>
  <si>
    <t xml:space="preserve">{"name":"Ravi Kumar","accountNo":"60021345678","ifsc":"HDFC0001234"}</t>
  </si>
  <si>
    <t xml:space="preserve">201</t>
  </si>
  <si>
    <t xml:space="preserve">pm.test('Status 201', () =&gt; pm.response.to.have.status(201));
pm.expect(pm.response.json().status).to.eql('PENDING_COOLING');</t>
  </si>
  <si>
    <t xml:space="preserve">API-007</t>
  </si>
  <si>
    <t xml:space="preserve">IMPS transfer - valid</t>
  </si>
  <si>
    <t xml:space="preserve">{{baseUrl}}/transfers</t>
  </si>
  <si>
    <t xml:space="preserve">Authorization: Bearer {{token}}
Idempotency-Key: {{$guid}}
Content-Type: application/json</t>
  </si>
  <si>
    <t xml:space="preserve">{"fromAccount":"50010012345","toAccount":"60021345678","ifsc":"HDFC0001234","amount":5000.00,"mode":"IMPS"}</t>
  </si>
  <si>
    <t xml:space="preserve">pm.test('Status 200', () =&gt; pm.response.to.have.status(200));
const j = pm.response.json();
pm.expect(j.status).to.eql('SUCCESS');
pm.expect(j.txnRef).to.match(/^IMPS\d{10}$/);
pm.expect(pm.response.responseTime).to.be.below(2000);
pm.environment.set('txnRef', j.txnRef);</t>
  </si>
  <si>
    <t xml:space="preserve">API-008</t>
  </si>
  <si>
    <t xml:space="preserve">IMPS transfer - insufficient funds</t>
  </si>
  <si>
    <t xml:space="preserve">Authorization: Bearer {{token}}
Idempotency-Key: {{$guid}}</t>
  </si>
  <si>
    <t xml:space="preserve">{"fromAccount":"50010012345","toAccount":"60021345678","ifsc":"HDFC0001234","amount":1000000.00,"mode":"IMPS"}</t>
  </si>
  <si>
    <t xml:space="preserve">422</t>
  </si>
  <si>
    <t xml:space="preserve">pm.test('Status 422', () =&gt; pm.response.to.have.status(422));
pm.expect(pm.response.json().code).to.eql('INSUFFICIENT_FUNDS');</t>
  </si>
  <si>
    <t xml:space="preserve">API-009</t>
  </si>
  <si>
    <t xml:space="preserve">IMPS transfer - duplicate Idempotency-Key</t>
  </si>
  <si>
    <t xml:space="preserve">Authorization: Bearer {{token}}
Idempotency-Key: idem-9b21 (reuse)</t>
  </si>
  <si>
    <t xml:space="preserve">{"fromAccount":"50010012345","toAccount":"60021345678","ifsc":"HDFC0001234","amount":2500.00,"mode":"IMPS"}</t>
  </si>
  <si>
    <t xml:space="preserve">200 (same txnRef, no 2nd debit)</t>
  </si>
  <si>
    <t xml:space="preserve">pm.test('Same txnRef returned', () =&gt; pm.expect(pm.response.json().txnRef).to.eql(pm.environment.get('txnRef')));</t>
  </si>
  <si>
    <t xml:space="preserve">200 (new txnRef, 2nd debit)</t>
  </si>
  <si>
    <t xml:space="preserve">Get balance of another customer's account</t>
  </si>
  <si>
    <t xml:space="preserve">{{baseUrl}}/accounts/50010099999/balance</t>
  </si>
  <si>
    <t xml:space="preserve">403</t>
  </si>
  <si>
    <t xml:space="preserve">pm.test('Status 403', () =&gt; pm.response.to.have.status(403));</t>
  </si>
  <si>
    <t xml:space="preserve">200 (data of cust1002)</t>
  </si>
  <si>
    <t xml:space="preserve">API-011</t>
  </si>
  <si>
    <t xml:space="preserve">Get transfer status</t>
  </si>
  <si>
    <t xml:space="preserve">{{baseUrl}}/transfers/{{txnRef}}</t>
  </si>
  <si>
    <t xml:space="preserve">pm.test('Status 200', () =&gt; pm.response.to.have.status(200));
pm.expect(pm.response.json().status).to.be.oneOf(['SUCCESS','PROCESSING']);</t>
  </si>
  <si>
    <t xml:space="preserve">API-012</t>
  </si>
  <si>
    <t xml:space="preserve">Transactions for date range</t>
  </si>
  <si>
    <t xml:space="preserve">{{baseUrl}}/accounts/50010012345/transactions?from=2026-09-01&amp;to=2026-09-30</t>
  </si>
  <si>
    <t xml:space="preserve">200 (14 records incl. 30-Sep)</t>
  </si>
  <si>
    <t xml:space="preserve">pm.test('Status 200', () =&gt; pm.response.to.have.status(200));
pm.expect(pm.response.json().transactions.length).to.eql(14);</t>
  </si>
  <si>
    <t xml:space="preserve">200 (12 records)</t>
  </si>
  <si>
    <t xml:space="preserve">API-013</t>
  </si>
  <si>
    <t xml:space="preserve">Transfer - mandatory field missing</t>
  </si>
  <si>
    <t xml:space="preserve">{"fromAccount":"50010012345","toAccount":"60021345678","mode":"IMPS"}</t>
  </si>
  <si>
    <t xml:space="preserve">400</t>
  </si>
  <si>
    <t xml:space="preserve">pm.test('Status 400', () =&gt; pm.response.to.have.status(400));
pm.expect(pm.response.json().field).to.eql('amount');</t>
  </si>
  <si>
    <t xml:space="preserve">API-014</t>
  </si>
  <si>
    <t xml:space="preserve">Transfer - SQL injection in remarks</t>
  </si>
  <si>
    <t xml:space="preserve">{"fromAccount":"50010012345","toAccount":"60021345678","ifsc":"HDFC0001234","amount":10,"mode":"IMPS","remarks":"x'; DROP TABLE txn;--"}</t>
  </si>
  <si>
    <t xml:space="preserve">200 or 400 (no DB impact)</t>
  </si>
  <si>
    <t xml:space="preserve">pm.test('No 5xx', () =&gt; pm.expect(pm.response.code).to.be.below(500));</t>
  </si>
  <si>
    <t xml:space="preserve">200; remark stored as plain text; txn table intact</t>
  </si>
  <si>
    <t xml:space="preserve">API-015</t>
  </si>
  <si>
    <t xml:space="preserve">Login - rate limiting</t>
  </si>
  <si>
    <t xml:space="preserve">6 rapid requests with wrong password</t>
  </si>
  <si>
    <t xml:space="preserve">429 on 6th</t>
  </si>
  <si>
    <t xml:space="preserve">pm.test('Status 429', () =&gt; pm.response.to.have.status(429));</t>
  </si>
  <si>
    <t xml:space="preserve">Postman Setup - Environment, Collection and Scripts</t>
  </si>
  <si>
    <t xml:space="preserve">All URLs and credentials are fictional UAT placeholders.</t>
  </si>
  <si>
    <t xml:space="preserve">ENVIRONMENT VARIABLES</t>
  </si>
  <si>
    <t xml:space="preserve">baseUrl</t>
  </si>
  <si>
    <t xml:space="preserve">https://api-uat.securebank.example/v1</t>
  </si>
  <si>
    <t xml:space="preserve">API base URL (UAT)</t>
  </si>
  <si>
    <t xml:space="preserve">userId</t>
  </si>
  <si>
    <t xml:space="preserve">cust1001</t>
  </si>
  <si>
    <t xml:space="preserve">Test customer</t>
  </si>
  <si>
    <t xml:space="preserve">password</t>
  </si>
  <si>
    <t xml:space="preserve">Pass@1234</t>
  </si>
  <si>
    <t xml:space="preserve">Test password (UAT only)</t>
  </si>
  <si>
    <t xml:space="preserve">otpRef</t>
  </si>
  <si>
    <t xml:space="preserve">(set by API-001)</t>
  </si>
  <si>
    <t xml:space="preserve">Saved by test script</t>
  </si>
  <si>
    <t xml:space="preserve">token</t>
  </si>
  <si>
    <t xml:space="preserve">(set by API-003)</t>
  </si>
  <si>
    <t xml:space="preserve">Bearer token saved by test script</t>
  </si>
  <si>
    <t xml:space="preserve">txnRef</t>
  </si>
  <si>
    <t xml:space="preserve">(set by API-007)</t>
  </si>
  <si>
    <t xml:space="preserve">Last transaction reference</t>
  </si>
  <si>
    <t xml:space="preserve">COLLECTION STRUCTURE</t>
  </si>
  <si>
    <t xml:space="preserve">1. Auth</t>
  </si>
  <si>
    <t xml:space="preserve">API-001 to API-003, API-015</t>
  </si>
  <si>
    <t xml:space="preserve">Login, OTP, rate limit</t>
  </si>
  <si>
    <t xml:space="preserve">2. Accounts</t>
  </si>
  <si>
    <t xml:space="preserve">API-004, API-005, API-010, API-012</t>
  </si>
  <si>
    <t xml:space="preserve">Balance, statement, authorisation</t>
  </si>
  <si>
    <t xml:space="preserve">3. Beneficiaries</t>
  </si>
  <si>
    <t xml:space="preserve">Add / list payees</t>
  </si>
  <si>
    <t xml:space="preserve">4. Transfers</t>
  </si>
  <si>
    <t xml:space="preserve">API-007 to API-009, API-011, API-013, API-014</t>
  </si>
  <si>
    <t xml:space="preserve">Positive, negative, security</t>
  </si>
  <si>
    <t xml:space="preserve">Run order</t>
  </si>
  <si>
    <t xml:space="preserve">Use Collection Runner (or Newman) with the same order</t>
  </si>
  <si>
    <t xml:space="preserve">newman run collection.json -e uat.json</t>
  </si>
  <si>
    <t xml:space="preserve">COLLECTION-LEVEL PRE-REQUEST SCRIPT</t>
  </si>
  <si>
    <t xml:space="preserve">Script</t>
  </si>
  <si>
    <t xml:space="preserve">pm.request.headers.add({key:'X-Correlation-Id', value: pm.variables.replaceIn('{{$guid}}')});</t>
  </si>
  <si>
    <t xml:space="preserve">Adds trace ID to every request; use it to search server logs / DB audit</t>
  </si>
  <si>
    <t xml:space="preserve">COMMON TESTS SCRIPT</t>
  </si>
  <si>
    <t xml:space="preserve">pm.test('Response time &lt; 2s', () =&gt; pm.expect(pm.response.responseTime).to.be.below(2000));</t>
  </si>
  <si>
    <t xml:space="preserve">Basic performance check on every call</t>
  </si>
  <si>
    <t xml:space="preserve">Data Field</t>
  </si>
  <si>
    <t xml:space="preserve">UI (input / display)</t>
  </si>
  <si>
    <t xml:space="preserve">API (request / response)</t>
  </si>
  <si>
    <t xml:space="preserve">Database (table.column)</t>
  </si>
  <si>
    <t xml:space="preserve">Ledger / CBS</t>
  </si>
  <si>
    <t xml:space="preserve">Validation Rule</t>
  </si>
  <si>
    <t xml:space="preserve">Amount</t>
  </si>
  <si>
    <t xml:space="preserve">5000.00 (form field)</t>
  </si>
  <si>
    <t xml:space="preserve">request: amount = 5000.00</t>
  </si>
  <si>
    <t xml:space="preserve">txn.amount DECIMAL(15,2) = 5000.00</t>
  </si>
  <si>
    <t xml:space="preserve">Ledger DR 5000.00</t>
  </si>
  <si>
    <t xml:space="preserve">SMS: 'Rs 5,000.00 debited'</t>
  </si>
  <si>
    <t xml:space="preserve">2 decimals; &gt; 0; &lt;= available balance and daily limit</t>
  </si>
  <si>
    <t xml:space="preserve">From account</t>
  </si>
  <si>
    <t xml:space="preserve">50010012345 (dropdown)</t>
  </si>
  <si>
    <t xml:space="preserve">request: fromAccount</t>
  </si>
  <si>
    <t xml:space="preserve">txn.from_account_id = 101</t>
  </si>
  <si>
    <t xml:space="preserve">Ledger account_id = 101</t>
  </si>
  <si>
    <t xml:space="preserve">Account belongs to logged-in customer</t>
  </si>
  <si>
    <t xml:space="preserve">Beneficiary account</t>
  </si>
  <si>
    <t xml:space="preserve">60021345678</t>
  </si>
  <si>
    <t xml:space="preserve">request: toAccount</t>
  </si>
  <si>
    <t xml:space="preserve">txn.to_account_no = 60021345678</t>
  </si>
  <si>
    <t xml:space="preserve">CR entry to settlement / payee</t>
  </si>
  <si>
    <t xml:space="preserve">Registered and active beneficiary</t>
  </si>
  <si>
    <t xml:space="preserve">IFSC</t>
  </si>
  <si>
    <t xml:space="preserve">request: ifsc</t>
  </si>
  <si>
    <t xml:space="preserve">beneficiary.benef_ifsc</t>
  </si>
  <si>
    <t xml:space="preserve">Routing info to IMPS switch</t>
  </si>
  <si>
    <t xml:space="preserve">Format ^[A-Z]{4}0[A-Z0-9]{6}$</t>
  </si>
  <si>
    <t xml:space="preserve">Transaction reference</t>
  </si>
  <si>
    <t xml:space="preserve">Shown on receipt: IMPS2609230001</t>
  </si>
  <si>
    <t xml:space="preserve">response: txnRef</t>
  </si>
  <si>
    <t xml:space="preserve">txn.txn_ref (UNIQUE)</t>
  </si>
  <si>
    <t xml:space="preserve">ledger.txn_id link</t>
  </si>
  <si>
    <t xml:space="preserve">SMS: Ref IMPS2609230001</t>
  </si>
  <si>
    <t xml:space="preserve">Unique; same value in UI, API, DB, SMS</t>
  </si>
  <si>
    <t xml:space="preserve">Timestamp</t>
  </si>
  <si>
    <t xml:space="preserve">23-Sep-2026 10:15:22 IST</t>
  </si>
  <si>
    <t xml:space="preserve">response: createdAt (ISO 8601)</t>
  </si>
  <si>
    <t xml:space="preserve">txn.created_at</t>
  </si>
  <si>
    <t xml:space="preserve">ledger.posted_at</t>
  </si>
  <si>
    <t xml:space="preserve">SMS time</t>
  </si>
  <si>
    <t xml:space="preserve">Same instant across layers (IST display vs stored UTC offset)</t>
  </si>
  <si>
    <t xml:space="preserve">SUCCESS banner</t>
  </si>
  <si>
    <t xml:space="preserve">response: status = SUCCESS</t>
  </si>
  <si>
    <t xml:space="preserve">txn.status = SUCCESS</t>
  </si>
  <si>
    <t xml:space="preserve">DR and CR both present</t>
  </si>
  <si>
    <t xml:space="preserve">Success SMS</t>
  </si>
  <si>
    <t xml:space="preserve">UI status = API = DB; no SUCCESS without CR</t>
  </si>
  <si>
    <t xml:space="preserve">Balance after txn</t>
  </si>
  <si>
    <t xml:space="preserve">₹70,250.50 on dashboard</t>
  </si>
  <si>
    <t xml:space="preserve">GET /balance = 70250.50</t>
  </si>
  <si>
    <t xml:space="preserve">account.balance = 70250.50</t>
  </si>
  <si>
    <t xml:space="preserve">ledger.balance_after = 70250.50</t>
  </si>
  <si>
    <t xml:space="preserve">All four values identical</t>
  </si>
  <si>
    <t xml:space="preserve">Scenario ID</t>
  </si>
  <si>
    <t xml:space="preserve">Flow (steps across systems)</t>
  </si>
  <si>
    <t xml:space="preserve">Systems Touched</t>
  </si>
  <si>
    <t xml:space="preserve">Expected End State</t>
  </si>
  <si>
    <t xml:space="preserve">E2E-001</t>
  </si>
  <si>
    <t xml:space="preserve">Successful IMPS transfer to new beneficiary</t>
  </si>
  <si>
    <t xml:space="preserve">1. Login (User ID + OTP)
2. View balance ₹75,250.50
3. Add beneficiary + OTP
4. Transfer ₹5,000 after cooling period
5. Confirm with OTP
6. View receipt
7. Check SMS / email
8. Check statement
9. Verify TXN and LEDGER in DB</t>
  </si>
  <si>
    <t xml:space="preserve">UI, Auth, OTP, Fund Transfer, CBS, Notification, DB</t>
  </si>
  <si>
    <t xml:space="preserve">Balance ₹70,250.50; txn SUCCESS; receipt, SMS, statement and DB all agree</t>
  </si>
  <si>
    <t xml:space="preserve">As expected (SMS not verified - gateway down)</t>
  </si>
  <si>
    <t xml:space="preserve">E2E-002</t>
  </si>
  <si>
    <t xml:space="preserve">Transfer fails at gateway and is auto-reversed</t>
  </si>
  <si>
    <t xml:space="preserve">1. Login
2. Transfer ₹1,000 using timeout stub
3. Wait for reversal window
4. Check balance, txn status and ledger</t>
  </si>
  <si>
    <t xml:space="preserve">UI, Fund Transfer, IMPS stub, Reversal job, Ledger</t>
  </si>
  <si>
    <t xml:space="preserve">Txn FAILED / REVERSED; balance unchanged; ledger nets to 0</t>
  </si>
  <si>
    <t xml:space="preserve">Txn stuck INITIATED; ledger has DR only</t>
  </si>
  <si>
    <t xml:space="preserve">E2E-003</t>
  </si>
  <si>
    <t xml:space="preserve">Bill payment end-to-end</t>
  </si>
  <si>
    <t xml:space="preserve">1. Login
2. Fetch electricity bill
3. Pay ₹1,840
4. Check receipt and statement
5. Verify debit in DB</t>
  </si>
  <si>
    <t xml:space="preserve">UI, BBPS stub, CBS, Statement, DB</t>
  </si>
  <si>
    <t xml:space="preserve">Bill paid; debit ₹1,840; one txn in statement and DB</t>
  </si>
  <si>
    <t xml:space="preserve">E2E-004</t>
  </si>
  <si>
    <t xml:space="preserve">Locked account recovery</t>
  </si>
  <si>
    <t xml:space="preserve">1. Lock account with 3 wrong passwords
2. Reset password via OTP
3. Login with new password
4. Confirm old password fails</t>
  </si>
  <si>
    <t xml:space="preserve">UI, Auth, OTP, DB (credential hash)</t>
  </si>
  <si>
    <t xml:space="preserve">Account unlocked; new hash in DB; audit log entry</t>
  </si>
  <si>
    <t xml:space="preserve">Illustrative schema for the banking example. Queries in 'DB Testing' use PostgreSQL syntax; adjust date/regex functions for MySQL / Oracle / SQL Server.</t>
  </si>
  <si>
    <t xml:space="preserve">Table</t>
  </si>
  <si>
    <t xml:space="preserve">Column(s)</t>
  </si>
  <si>
    <t xml:space="preserve">Type</t>
  </si>
  <si>
    <t xml:space="preserve">Constraint</t>
  </si>
  <si>
    <t xml:space="preserve">Notes</t>
  </si>
  <si>
    <t xml:space="preserve">CUSTOMER</t>
  </si>
  <si>
    <t xml:space="preserve">customer_id</t>
  </si>
  <si>
    <t xml:space="preserve">INT</t>
  </si>
  <si>
    <t xml:space="preserve">PK</t>
  </si>
  <si>
    <t xml:space="preserve">Unique customer</t>
  </si>
  <si>
    <t xml:space="preserve">full_name / mobile / email</t>
  </si>
  <si>
    <t xml:space="preserve">VARCHAR</t>
  </si>
  <si>
    <t xml:space="preserve">NOT NULL</t>
  </si>
  <si>
    <t xml:space="preserve">Contact details</t>
  </si>
  <si>
    <t xml:space="preserve">password_hash</t>
  </si>
  <si>
    <t xml:space="preserve">VARCHAR(60+)</t>
  </si>
  <si>
    <t xml:space="preserve">bcrypt hash - never plain text</t>
  </si>
  <si>
    <t xml:space="preserve">ACCOUNT</t>
  </si>
  <si>
    <t xml:space="preserve">account_id</t>
  </si>
  <si>
    <t xml:space="preserve">Internal ID</t>
  </si>
  <si>
    <t xml:space="preserve">FK &gt; CUSTOMER</t>
  </si>
  <si>
    <t xml:space="preserve">Owner</t>
  </si>
  <si>
    <t xml:space="preserve">account_no</t>
  </si>
  <si>
    <t xml:space="preserve">VARCHAR(14)</t>
  </si>
  <si>
    <t xml:space="preserve">UNIQUE, NOT NULL</t>
  </si>
  <si>
    <t xml:space="preserve">Customer-visible a/c number</t>
  </si>
  <si>
    <t xml:space="preserve">balance</t>
  </si>
  <si>
    <t xml:space="preserve">DECIMAL(15,2)</t>
  </si>
  <si>
    <t xml:space="preserve">CHECK (balance &gt;= 0)</t>
  </si>
  <si>
    <t xml:space="preserve">Available balance in INR</t>
  </si>
  <si>
    <t xml:space="preserve">status</t>
  </si>
  <si>
    <t xml:space="preserve">ACTIVE / FROZEN / CLOSED</t>
  </si>
  <si>
    <t xml:space="preserve">BENEFICIARY</t>
  </si>
  <si>
    <t xml:space="preserve">beneficiary_id, customer_id</t>
  </si>
  <si>
    <t xml:space="preserve">PK, FK &gt; CUSTOMER</t>
  </si>
  <si>
    <t xml:space="preserve">benef_acc_no, benef_ifsc, benef_name, added_on, status</t>
  </si>
  <si>
    <t xml:space="preserve">VARCHAR/TS</t>
  </si>
  <si>
    <t xml:space="preserve">IFSC format ^[A-Z]{4}0[A-Z0-9]{6}$</t>
  </si>
  <si>
    <t xml:space="preserve">TXN</t>
  </si>
  <si>
    <t xml:space="preserve">txn_id</t>
  </si>
  <si>
    <t xml:space="preserve">BIGINT</t>
  </si>
  <si>
    <t xml:space="preserve">Table named TXN because TRANSACTION is a reserved word</t>
  </si>
  <si>
    <t xml:space="preserve">txn_ref</t>
  </si>
  <si>
    <t xml:space="preserve">Reference shown to customer</t>
  </si>
  <si>
    <t xml:space="preserve">from_account_id</t>
  </si>
  <si>
    <t xml:space="preserve">FK &gt; ACCOUNT</t>
  </si>
  <si>
    <t xml:space="preserve">Debit account</t>
  </si>
  <si>
    <t xml:space="preserve">to_account_no, amount, txn_type</t>
  </si>
  <si>
    <t xml:space="preserve">VARCHAR/DECIMAL</t>
  </si>
  <si>
    <t xml:space="preserve">NOT NULL, amount &gt; 0</t>
  </si>
  <si>
    <t xml:space="preserve">IMPS / NEFT / UPI</t>
  </si>
  <si>
    <t xml:space="preserve">INITIATED / SUCCESS / FAILED / REVERSED</t>
  </si>
  <si>
    <t xml:space="preserve">idempotency_key, created_at</t>
  </si>
  <si>
    <t xml:space="preserve">UNIQUE (idempotency_key)</t>
  </si>
  <si>
    <t xml:space="preserve">Prevents duplicate submission</t>
  </si>
  <si>
    <t xml:space="preserve">LEDGER</t>
  </si>
  <si>
    <t xml:space="preserve">ledger_id</t>
  </si>
  <si>
    <t xml:space="preserve">txn_id, account_id</t>
  </si>
  <si>
    <t xml:space="preserve">BIGINT/INT</t>
  </si>
  <si>
    <t xml:space="preserve">FK &gt; TXN, ACCOUNT</t>
  </si>
  <si>
    <t xml:space="preserve">entry_type, amount, balance_after, posted_at</t>
  </si>
  <si>
    <t xml:space="preserve">VARCHAR/DECIMAL/TS</t>
  </si>
  <si>
    <t xml:space="preserve">DR or CR</t>
  </si>
  <si>
    <t xml:space="preserve">Double-entry: every txn nets to zero</t>
  </si>
  <si>
    <t xml:space="preserve">AUDIT_LOG</t>
  </si>
  <si>
    <t xml:space="preserve">audit_id, entity_id, action, performed_by, created_at</t>
  </si>
  <si>
    <t xml:space="preserve">BIGINT/VARCHAR/TS</t>
  </si>
  <si>
    <t xml:space="preserve">One row per transfer action</t>
  </si>
  <si>
    <t xml:space="preserve">Sample Data (used to understand expected vs actual results in DB Testing)</t>
  </si>
  <si>
    <t xml:space="preserve">Fictional data. Note: TXN 9003 duplicates 9002 (BANK-103) and TXN 9005 has a debit with no credit (BANK-109).</t>
  </si>
  <si>
    <t xml:space="preserve">account_type</t>
  </si>
  <si>
    <t xml:space="preserve">50010012345</t>
  </si>
  <si>
    <t xml:space="preserve">SAVINGS</t>
  </si>
  <si>
    <t xml:space="preserve">ACTIVE</t>
  </si>
  <si>
    <t xml:space="preserve">50010099999</t>
  </si>
  <si>
    <t xml:space="preserve">to_account_no</t>
  </si>
  <si>
    <t xml:space="preserve">amount</t>
  </si>
  <si>
    <t xml:space="preserve">txn_type</t>
  </si>
  <si>
    <t xml:space="preserve">idempotency_key</t>
  </si>
  <si>
    <t xml:space="preserve">created_at</t>
  </si>
  <si>
    <t xml:space="preserve">IMPS2609230001</t>
  </si>
  <si>
    <t xml:space="preserve">IMPS</t>
  </si>
  <si>
    <t xml:space="preserve">SUCCESS</t>
  </si>
  <si>
    <t xml:space="preserve">idem-7f3a</t>
  </si>
  <si>
    <t xml:space="preserve">2026-09-23 10:15:22</t>
  </si>
  <si>
    <t xml:space="preserve">IMPS2609230002</t>
  </si>
  <si>
    <t xml:space="preserve">idem-9b21</t>
  </si>
  <si>
    <t xml:space="preserve">2026-09-23 11:02:10</t>
  </si>
  <si>
    <t xml:space="preserve">IMPS2609230003</t>
  </si>
  <si>
    <t xml:space="preserve">2026-09-23 11:02:11</t>
  </si>
  <si>
    <t xml:space="preserve">IMPS2609230005</t>
  </si>
  <si>
    <t xml:space="preserve">INITIATED</t>
  </si>
  <si>
    <t xml:space="preserve">idem-c4d8</t>
  </si>
  <si>
    <t xml:space="preserve">2026-09-23 12:40:03</t>
  </si>
  <si>
    <t xml:space="preserve">entry_type</t>
  </si>
  <si>
    <t xml:space="preserve">balance_after</t>
  </si>
  <si>
    <t xml:space="preserve">posted_at</t>
  </si>
  <si>
    <t xml:space="preserve">DR</t>
  </si>
  <si>
    <t xml:space="preserve">2026-09-23 10:15:23</t>
  </si>
  <si>
    <t xml:space="preserve">CR</t>
  </si>
  <si>
    <t xml:space="preserve">2026-09-23 11:02:12</t>
  </si>
  <si>
    <t xml:space="preserve">2026-09-23 12:40:04</t>
  </si>
  <si>
    <t xml:space="preserve">Category</t>
  </si>
  <si>
    <t xml:space="preserve">SQL Query</t>
  </si>
  <si>
    <t xml:space="preserve">DB-001</t>
  </si>
  <si>
    <t xml:space="preserve">Data Validation</t>
  </si>
  <si>
    <t xml:space="preserve">TXN row created with correct values after IMPS transfer</t>
  </si>
  <si>
    <t xml:space="preserve">SELECT txn_ref, from_account_id, to_account_no, amount, status
FROM txn
WHERE txn_ref = 'IMPS2609230001';</t>
  </si>
  <si>
    <t xml:space="preserve">1 row: amount 5000.00, status SUCCESS</t>
  </si>
  <si>
    <t xml:space="preserve">1 row: 5000.00, SUCCESS</t>
  </si>
  <si>
    <t xml:space="preserve">DB-002</t>
  </si>
  <si>
    <t xml:space="preserve">Account balance reduced by transfer amount</t>
  </si>
  <si>
    <t xml:space="preserve">SELECT balance FROM account
WHERE account_no = '50010012345';</t>
  </si>
  <si>
    <t xml:space="preserve">70250.50 after first transfer (75250.50 - 5000.00)</t>
  </si>
  <si>
    <t xml:space="preserve">70250.50</t>
  </si>
  <si>
    <t xml:space="preserve">DB-003</t>
  </si>
  <si>
    <t xml:space="preserve">Mandatory columns are not null</t>
  </si>
  <si>
    <t xml:space="preserve">SELECT COUNT(*) FROM txn
WHERE txn_ref IS NULL OR amount IS NULL
   OR from_account_id IS NULL OR status IS NULL;</t>
  </si>
  <si>
    <t xml:space="preserve">0</t>
  </si>
  <si>
    <t xml:space="preserve">DB-004</t>
  </si>
  <si>
    <t xml:space="preserve">Amount has max 2 decimals and is positive</t>
  </si>
  <si>
    <t xml:space="preserve">SELECT txn_ref, amount FROM txn
WHERE amount &lt;= 0 OR amount &lt;&gt; ROUND(amount, 2);</t>
  </si>
  <si>
    <t xml:space="preserve">0 rows</t>
  </si>
  <si>
    <t xml:space="preserve">DB-005</t>
  </si>
  <si>
    <t xml:space="preserve">Statement count in DB equals UI / API for date range</t>
  </si>
  <si>
    <t xml:space="preserve">SELECT COUNT(*) FROM txn
WHERE from_account_id = 101
  AND created_at &gt;= '2026-09-01'
  AND created_at &lt;  '2026-10-01';</t>
  </si>
  <si>
    <t xml:space="preserve">14 (same as statement PDF)</t>
  </si>
  <si>
    <t xml:space="preserve">DB = 14; PDF / API = 12</t>
  </si>
  <si>
    <t xml:space="preserve">DB-006</t>
  </si>
  <si>
    <t xml:space="preserve">Passwords stored as hash, not plain text</t>
  </si>
  <si>
    <t xml:space="preserve">SELECT customer_id FROM customer
WHERE password_hash IS NULL OR LENGTH(password_hash) &lt; 60;</t>
  </si>
  <si>
    <t xml:space="preserve">DB-007</t>
  </si>
  <si>
    <t xml:space="preserve">Transactions</t>
  </si>
  <si>
    <t xml:space="preserve">Every SUCCESS txn has both DR and CR ledger entries (atomicity)</t>
  </si>
  <si>
    <t xml:space="preserve">SELECT t.txn_id
FROM txn t LEFT JOIN ledger l ON l.txn_id = t.txn_id
WHERE t.status = 'SUCCESS'
GROUP BY t.txn_id
HAVING COUNT(l.ledger_id) &lt; 2;</t>
  </si>
  <si>
    <t xml:space="preserve">DB-008</t>
  </si>
  <si>
    <t xml:space="preserve">FAILED transaction has no debit entry</t>
  </si>
  <si>
    <t xml:space="preserve">SELECT t.txn_ref
FROM txn t JOIN ledger l ON l.txn_id = t.txn_id
WHERE t.status = 'FAILED' AND l.entry_type = 'DR';</t>
  </si>
  <si>
    <t xml:space="preserve">DB-009</t>
  </si>
  <si>
    <t xml:space="preserve">REVERSED transaction nets to zero</t>
  </si>
  <si>
    <t xml:space="preserve">SELECT t.txn_ref
FROM txn t
WHERE t.status = 'REVERSED'
  AND (SELECT COALESCE(SUM(CASE WHEN l.entry_type='DR' THEN l.amount ELSE -l.amount END),0)
       FROM ledger l WHERE l.txn_id = t.txn_id) &lt;&gt; 0;</t>
  </si>
  <si>
    <t xml:space="preserve">DB-010</t>
  </si>
  <si>
    <t xml:space="preserve">No duplicate txn for same idempotency key</t>
  </si>
  <si>
    <t xml:space="preserve">SELECT idempotency_key, COUNT(*)
FROM txn
GROUP BY idempotency_key
HAVING COUNT(*) &gt; 1;</t>
  </si>
  <si>
    <t xml:space="preserve">1 row: idem-9b21, count 2</t>
  </si>
  <si>
    <t xml:space="preserve">DB-011</t>
  </si>
  <si>
    <t xml:space="preserve">Rollback restores balance (manual ACID test)</t>
  </si>
  <si>
    <t xml:space="preserve">BEGIN;
UPDATE account SET balance = balance - 5000 WHERE account_id = 101;
SELECT balance FROM account WHERE account_id = 101;  -- reduced
ROLLBACK;
SELECT balance FROM account WHERE account_id = 101;  -- original</t>
  </si>
  <si>
    <t xml:space="preserve">Balance returns to original value after ROLLBACK</t>
  </si>
  <si>
    <t xml:space="preserve">Original value restored</t>
  </si>
  <si>
    <t xml:space="preserve">DB-012</t>
  </si>
  <si>
    <t xml:space="preserve">Row lock prevents concurrent double spend (2 sessions)</t>
  </si>
  <si>
    <t xml:space="preserve">-- Session A
BEGIN;
SELECT balance FROM account WHERE account_id = 101 FOR UPDATE;
-- Session B (run while A is open)
BEGIN;
SELECT balance FROM account WHERE account_id = 101 FOR UPDATE;</t>
  </si>
  <si>
    <t xml:space="preserve">Session B waits until Session A COMMIT / ROLLBACK</t>
  </si>
  <si>
    <t xml:space="preserve">Session B blocked until A committed</t>
  </si>
  <si>
    <t xml:space="preserve">DB-013</t>
  </si>
  <si>
    <t xml:space="preserve">No account has negative balance</t>
  </si>
  <si>
    <t xml:space="preserve">SELECT account_id, balance FROM account
WHERE balance &lt; 0;</t>
  </si>
  <si>
    <t xml:space="preserve">DB-014</t>
  </si>
  <si>
    <t xml:space="preserve">Daily limit (₹1,00,000) not exceeded per account</t>
  </si>
  <si>
    <t xml:space="preserve">SELECT from_account_id, SUM(amount) AS total
FROM txn
WHERE status = 'SUCCESS'
  AND created_at &gt;= DATE '2026-09-22'
  AND created_at &lt;  DATE '2026-09-23'
GROUP BY from_account_id
HAVING SUM(amount) &gt; 100000;</t>
  </si>
  <si>
    <t xml:space="preserve">1 row: account 101, total 120000.00</t>
  </si>
  <si>
    <t xml:space="preserve">DB-015</t>
  </si>
  <si>
    <t xml:space="preserve">Ledger balanced for every txn (DR = CR)</t>
  </si>
  <si>
    <t xml:space="preserve">SELECT txn_id,
       SUM(CASE WHEN entry_type='DR' THEN amount ELSE -amount END) AS diff
FROM ledger
GROUP BY txn_id
HAVING SUM(CASE WHEN entry_type='DR' THEN amount ELSE -amount END) &lt;&gt; 0;</t>
  </si>
  <si>
    <t xml:space="preserve">1 row: txn 9005, diff 1000.00</t>
  </si>
  <si>
    <t xml:space="preserve">DB-016</t>
  </si>
  <si>
    <t xml:space="preserve">No orphan TXN (foreign key to ACCOUNT)</t>
  </si>
  <si>
    <t xml:space="preserve">SELECT t.txn_id
FROM txn t LEFT JOIN account a ON a.account_id = t.from_account_id
WHERE a.account_id IS NULL;</t>
  </si>
  <si>
    <t xml:space="preserve">DB-017</t>
  </si>
  <si>
    <t xml:space="preserve">txn_ref is unique</t>
  </si>
  <si>
    <t xml:space="preserve">SELECT txn_ref, COUNT(*)
FROM txn
GROUP BY txn_ref
HAVING COUNT(*) &gt; 1;</t>
  </si>
  <si>
    <t xml:space="preserve">DB-018</t>
  </si>
  <si>
    <t xml:space="preserve">Latest ledger balance_after equals account balance</t>
  </si>
  <si>
    <t xml:space="preserve">SELECT a.account_id, a.balance, l.balance_after
FROM account a
JOIN ledger l ON l.ledger_id = (SELECT MAX(ledger_id) FROM ledger WHERE account_id = a.account_id)
WHERE a.balance &lt;&gt; l.balance_after;</t>
  </si>
  <si>
    <t xml:space="preserve">DB-019</t>
  </si>
  <si>
    <t xml:space="preserve">Audit log entry exists for every transfer</t>
  </si>
  <si>
    <t xml:space="preserve">SELECT t.txn_id
FROM txn t LEFT JOIN audit_log al
  ON al.entity_id = t.txn_id AND al.action = 'FUND_TRANSFER'
WHERE al.audit_id IS NULL;</t>
  </si>
  <si>
    <t xml:space="preserve">DB-020</t>
  </si>
  <si>
    <t xml:space="preserve">Beneficiary IFSC follows valid format</t>
  </si>
  <si>
    <t xml:space="preserve">SELECT beneficiary_id, benef_ifsc
FROM beneficiary
WHERE benef_ifsc !~ '^[A-Z]{4}0[A-Z0-9]{6}$';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</si>
</sst>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9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E7E6E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</row>
    <row r="5" customFormat="false" ht="15" hidden="false" customHeight="false" outlineLevel="0" collapsed="false">
      <c r="A5" s="2" t="s">
        <v>6</v>
      </c>
      <c r="B5" s="2" t="s">
        <v>7</v>
      </c>
      <c r="C5" s="2" t="s">
        <v>8</v>
      </c>
      <c r="D5" s="2" t="s">
        <v>9</v>
      </c>
    </row>
    <row r="6" customFormat="false" ht="15" hidden="false" customHeight="false" outlineLevel="0" collapsed="false">
      <c r="A6" s="2" t="s">
        <v>6</v>
      </c>
      <c r="B6" s="2" t="s">
        <v>10</v>
      </c>
      <c r="C6" s="2" t="s">
        <v>11</v>
      </c>
      <c r="D6" s="2" t="s">
        <v>12</v>
      </c>
    </row>
    <row r="7" customFormat="false" ht="15" hidden="false" customHeight="false" outlineLevel="0" collapsed="false">
      <c r="A7" s="2" t="s">
        <v>6</v>
      </c>
      <c r="B7" s="2" t="s">
        <v>13</v>
      </c>
      <c r="C7" s="2" t="s">
        <v>14</v>
      </c>
      <c r="D7" s="2" t="s">
        <v>15</v>
      </c>
    </row>
    <row r="8" customFormat="false" ht="15" hidden="false" customHeight="false" outlineLevel="0" collapsed="false">
      <c r="A8" s="2" t="s">
        <v>6</v>
      </c>
      <c r="B8" s="2" t="s">
        <v>16</v>
      </c>
      <c r="C8" s="2" t="s">
        <v>17</v>
      </c>
      <c r="D8" s="2" t="s">
        <v>18</v>
      </c>
    </row>
    <row r="9" customFormat="false" ht="23.85" hidden="false" customHeight="false" outlineLevel="0" collapsed="false">
      <c r="A9" s="2" t="s">
        <v>6</v>
      </c>
      <c r="B9" s="2" t="s">
        <v>19</v>
      </c>
      <c r="C9" s="2" t="s">
        <v>20</v>
      </c>
      <c r="D9" s="2" t="s">
        <v>21</v>
      </c>
    </row>
    <row r="10" customFormat="false" ht="15" hidden="false" customHeight="false" outlineLevel="0" collapsed="false">
      <c r="A10" s="2" t="s">
        <v>22</v>
      </c>
      <c r="B10" s="2" t="s">
        <v>23</v>
      </c>
      <c r="C10" s="2" t="s">
        <v>24</v>
      </c>
      <c r="D10" s="2" t="s">
        <v>25</v>
      </c>
    </row>
    <row r="11" customFormat="false" ht="15" hidden="false" customHeight="false" outlineLevel="0" collapsed="false">
      <c r="A11" s="2" t="s">
        <v>22</v>
      </c>
      <c r="B11" s="2" t="s">
        <v>26</v>
      </c>
      <c r="C11" s="2" t="s">
        <v>24</v>
      </c>
      <c r="D11" s="2" t="s">
        <v>27</v>
      </c>
    </row>
    <row r="12" customFormat="false" ht="15" hidden="false" customHeight="false" outlineLevel="0" collapsed="false">
      <c r="A12" s="2" t="s">
        <v>22</v>
      </c>
      <c r="B12" s="2" t="s">
        <v>28</v>
      </c>
      <c r="C12" s="2" t="s">
        <v>29</v>
      </c>
      <c r="D12" s="2" t="s">
        <v>30</v>
      </c>
    </row>
    <row r="13" customFormat="false" ht="15" hidden="false" customHeight="false" outlineLevel="0" collapsed="false">
      <c r="A13" s="2" t="s">
        <v>22</v>
      </c>
      <c r="B13" s="2" t="s">
        <v>31</v>
      </c>
      <c r="C13" s="2" t="s">
        <v>32</v>
      </c>
      <c r="D13" s="2" t="s">
        <v>33</v>
      </c>
    </row>
    <row r="14" customFormat="false" ht="15" hidden="false" customHeight="false" outlineLevel="0" collapsed="false">
      <c r="A14" s="2" t="s">
        <v>22</v>
      </c>
      <c r="B14" s="2" t="s">
        <v>34</v>
      </c>
      <c r="C14" s="2" t="s">
        <v>35</v>
      </c>
      <c r="D14" s="2" t="s">
        <v>36</v>
      </c>
    </row>
    <row r="15" customFormat="false" ht="15" hidden="false" customHeight="false" outlineLevel="0" collapsed="false">
      <c r="A15" s="2" t="s">
        <v>37</v>
      </c>
      <c r="B15" s="2" t="s">
        <v>38</v>
      </c>
      <c r="C15" s="2" t="s">
        <v>39</v>
      </c>
      <c r="D15" s="2" t="s">
        <v>40</v>
      </c>
    </row>
    <row r="16" customFormat="false" ht="15" hidden="false" customHeight="false" outlineLevel="0" collapsed="false">
      <c r="A16" s="2" t="s">
        <v>37</v>
      </c>
      <c r="B16" s="2" t="s">
        <v>41</v>
      </c>
      <c r="C16" s="2" t="s">
        <v>42</v>
      </c>
      <c r="D16" s="2" t="s">
        <v>43</v>
      </c>
    </row>
    <row r="17" customFormat="false" ht="15" hidden="false" customHeight="false" outlineLevel="0" collapsed="false">
      <c r="A17" s="2" t="s">
        <v>37</v>
      </c>
      <c r="B17" s="2" t="s">
        <v>44</v>
      </c>
      <c r="C17" s="2" t="s">
        <v>45</v>
      </c>
      <c r="D17" s="2" t="s">
        <v>46</v>
      </c>
    </row>
    <row r="18" customFormat="false" ht="15" hidden="false" customHeight="false" outlineLevel="0" collapsed="false">
      <c r="A18" s="2" t="s">
        <v>37</v>
      </c>
      <c r="B18" s="2" t="s">
        <v>47</v>
      </c>
      <c r="C18" s="2" t="s">
        <v>48</v>
      </c>
      <c r="D18" s="2" t="s">
        <v>49</v>
      </c>
    </row>
    <row r="19" customFormat="false" ht="15" hidden="false" customHeight="false" outlineLevel="0" collapsed="false">
      <c r="A19" s="2" t="s">
        <v>50</v>
      </c>
      <c r="B19" s="2" t="s">
        <v>51</v>
      </c>
      <c r="C19" s="2" t="s">
        <v>52</v>
      </c>
      <c r="D19" s="2" t="s">
        <v>53</v>
      </c>
    </row>
    <row r="20" customFormat="false" ht="15" hidden="false" customHeight="false" outlineLevel="0" collapsed="false">
      <c r="A20" s="2" t="s">
        <v>50</v>
      </c>
      <c r="B20" s="2" t="s">
        <v>54</v>
      </c>
      <c r="C20" s="2" t="s">
        <v>55</v>
      </c>
      <c r="D20" s="2" t="s">
        <v>56</v>
      </c>
    </row>
    <row r="21" customFormat="false" ht="15" hidden="false" customHeight="false" outlineLevel="0" collapsed="false">
      <c r="A21" s="2" t="s">
        <v>50</v>
      </c>
      <c r="B21" s="2" t="s">
        <v>57</v>
      </c>
      <c r="C21" s="2" t="s">
        <v>58</v>
      </c>
      <c r="D21" s="2" t="s">
        <v>59</v>
      </c>
    </row>
    <row r="22" customFormat="false" ht="15" hidden="false" customHeight="false" outlineLevel="0" collapsed="false">
      <c r="A22" s="2" t="s">
        <v>50</v>
      </c>
      <c r="B22" s="2" t="s">
        <v>60</v>
      </c>
      <c r="C22" s="2" t="s">
        <v>61</v>
      </c>
      <c r="D22" s="2" t="s">
        <v>62</v>
      </c>
    </row>
    <row r="24" customFormat="false" ht="15" hidden="false" customHeight="false" outlineLevel="0" collapsed="false">
      <c r="A24" s="3" t="s">
        <v>63</v>
      </c>
      <c r="B24" s="4"/>
      <c r="C24" s="4"/>
      <c r="D24" s="4"/>
    </row>
    <row r="25" customFormat="false" ht="27.75" hidden="false" customHeight="true" outlineLevel="0" collapsed="false">
      <c r="A25" s="5" t="s">
        <v>64</v>
      </c>
      <c r="B25" s="5"/>
      <c r="C25" s="5"/>
      <c r="D25" s="5"/>
    </row>
    <row r="26" customFormat="false" ht="27.75" hidden="false" customHeight="true" outlineLevel="0" collapsed="false">
      <c r="A26" s="5" t="s">
        <v>65</v>
      </c>
      <c r="B26" s="5"/>
      <c r="C26" s="5"/>
      <c r="D26" s="5"/>
    </row>
    <row r="27" customFormat="false" ht="27.75" hidden="false" customHeight="true" outlineLevel="0" collapsed="false">
      <c r="A27" s="5" t="s">
        <v>66</v>
      </c>
      <c r="B27" s="5"/>
      <c r="C27" s="5"/>
      <c r="D27" s="5"/>
    </row>
    <row r="28" customFormat="false" ht="27.75" hidden="false" customHeight="true" outlineLevel="0" collapsed="false">
      <c r="A28" s="5" t="s">
        <v>67</v>
      </c>
      <c r="B28" s="5"/>
      <c r="C28" s="5"/>
      <c r="D28" s="5"/>
    </row>
  </sheetData>
  <mergeCells count="4"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6" t="s">
        <v>68</v>
      </c>
    </row>
    <row r="2" customFormat="false" ht="15" hidden="false" customHeight="false" outlineLevel="0" collapsed="false">
      <c r="A2" s="7" t="s">
        <v>69</v>
      </c>
    </row>
    <row r="4" customFormat="false" ht="15" hidden="false" customHeight="false" outlineLevel="0" collapsed="false">
      <c r="A4" s="8" t="s">
        <v>70</v>
      </c>
      <c r="B4" s="8" t="s">
        <v>71</v>
      </c>
      <c r="C4" s="8" t="s">
        <v>72</v>
      </c>
      <c r="D4" s="8" t="s">
        <v>73</v>
      </c>
      <c r="E4" s="8" t="s">
        <v>74</v>
      </c>
      <c r="F4" s="8" t="s">
        <v>75</v>
      </c>
      <c r="G4" s="8" t="s">
        <v>76</v>
      </c>
    </row>
    <row r="5" customFormat="false" ht="15" hidden="false" customHeight="false" outlineLevel="0" collapsed="false">
      <c r="A5" s="9" t="s">
        <v>77</v>
      </c>
      <c r="B5" s="9" t="n">
        <f aca="false">COUNTA('Functional TCs'!J2:J21)</f>
        <v>20</v>
      </c>
      <c r="C5" s="9" t="n">
        <f aca="false">COUNTIF('Functional TCs'!J2:J21,"Pass")</f>
        <v>15</v>
      </c>
      <c r="D5" s="9" t="n">
        <f aca="false">COUNTIF('Functional TCs'!J2:J21,"Fail")</f>
        <v>4</v>
      </c>
      <c r="E5" s="9" t="n">
        <f aca="false">COUNTIF('Functional TCs'!J2:J21,"Blocked")</f>
        <v>1</v>
      </c>
      <c r="F5" s="9" t="n">
        <f aca="false">COUNTIF('Functional TCs'!J2:J21,"Not Run")</f>
        <v>0</v>
      </c>
      <c r="G5" s="10" t="n">
        <f aca="false">IF(B5=0,0,C5/B5)</f>
        <v>0.75</v>
      </c>
    </row>
    <row r="6" customFormat="false" ht="15" hidden="false" customHeight="false" outlineLevel="0" collapsed="false">
      <c r="A6" s="9" t="s">
        <v>14</v>
      </c>
      <c r="B6" s="9" t="n">
        <f aca="false">COUNTA('Cross-Browser'!E2:J7)</f>
        <v>36</v>
      </c>
      <c r="C6" s="9" t="n">
        <f aca="false">COUNTIF('Cross-Browser'!E2:J7,"Pass")</f>
        <v>34</v>
      </c>
      <c r="D6" s="9" t="n">
        <f aca="false">COUNTIF('Cross-Browser'!E2:J7,"Fail")</f>
        <v>1</v>
      </c>
      <c r="E6" s="9" t="n">
        <f aca="false">COUNTIF('Cross-Browser'!E2:J7,"Blocked")</f>
        <v>0</v>
      </c>
      <c r="F6" s="9" t="n">
        <f aca="false">COUNTIF('Cross-Browser'!E2:J7,"Not Run")</f>
        <v>1</v>
      </c>
      <c r="G6" s="10" t="n">
        <f aca="false">IF(B6=0,0,C6/B6)</f>
        <v>0.944444444444444</v>
      </c>
    </row>
    <row r="7" customFormat="false" ht="15" hidden="false" customHeight="false" outlineLevel="0" collapsed="false">
      <c r="A7" s="9" t="s">
        <v>17</v>
      </c>
      <c r="B7" s="9" t="n">
        <f aca="false">COUNTA(Responsive!I2:I10)</f>
        <v>9</v>
      </c>
      <c r="C7" s="9" t="n">
        <f aca="false">COUNTIF(Responsive!I2:I10,"Pass")</f>
        <v>7</v>
      </c>
      <c r="D7" s="9" t="n">
        <f aca="false">COUNTIF(Responsive!I2:I10,"Fail")</f>
        <v>1</v>
      </c>
      <c r="E7" s="9" t="n">
        <f aca="false">COUNTIF(Responsive!I2:I10,"Blocked")</f>
        <v>0</v>
      </c>
      <c r="F7" s="9" t="n">
        <f aca="false">COUNTIF(Responsive!I2:I10,"Not Run")</f>
        <v>1</v>
      </c>
      <c r="G7" s="10" t="n">
        <f aca="false">IF(B7=0,0,C7/B7)</f>
        <v>0.777777777777778</v>
      </c>
    </row>
    <row r="8" customFormat="false" ht="15" hidden="false" customHeight="false" outlineLevel="0" collapsed="false">
      <c r="A8" s="9" t="s">
        <v>39</v>
      </c>
      <c r="B8" s="9" t="n">
        <f aca="false">COUNTA(Integration!H2:H9)</f>
        <v>8</v>
      </c>
      <c r="C8" s="9" t="n">
        <f aca="false">COUNTIF(Integration!H2:H9,"Pass")</f>
        <v>5</v>
      </c>
      <c r="D8" s="9" t="n">
        <f aca="false">COUNTIF(Integration!H2:H9,"Fail")</f>
        <v>2</v>
      </c>
      <c r="E8" s="9" t="n">
        <f aca="false">COUNTIF(Integration!H2:H9,"Blocked")</f>
        <v>1</v>
      </c>
      <c r="F8" s="9" t="n">
        <f aca="false">COUNTIF(Integration!H2:H9,"Not Run")</f>
        <v>0</v>
      </c>
      <c r="G8" s="10" t="n">
        <f aca="false">IF(B8=0,0,C8/B8)</f>
        <v>0.625</v>
      </c>
    </row>
    <row r="9" customFormat="false" ht="15" hidden="false" customHeight="false" outlineLevel="0" collapsed="false">
      <c r="A9" s="9" t="s">
        <v>78</v>
      </c>
      <c r="B9" s="9" t="n">
        <f aca="false">COUNTA('Data Flow'!H2:H9)</f>
        <v>8</v>
      </c>
      <c r="C9" s="9" t="n">
        <f aca="false">COUNTIF('Data Flow'!H2:H9,"Pass")</f>
        <v>8</v>
      </c>
      <c r="D9" s="9" t="n">
        <f aca="false">COUNTIF('Data Flow'!H2:H9,"Fail")</f>
        <v>0</v>
      </c>
      <c r="E9" s="9" t="n">
        <f aca="false">COUNTIF('Data Flow'!H2:H9,"Blocked")</f>
        <v>0</v>
      </c>
      <c r="F9" s="9" t="n">
        <f aca="false">COUNTIF('Data Flow'!H2:H9,"Not Run")</f>
        <v>0</v>
      </c>
      <c r="G9" s="10" t="n">
        <f aca="false">IF(B9=0,0,C9/B9)</f>
        <v>1</v>
      </c>
    </row>
    <row r="10" customFormat="false" ht="15" hidden="false" customHeight="false" outlineLevel="0" collapsed="false">
      <c r="A10" s="9" t="s">
        <v>79</v>
      </c>
      <c r="B10" s="9" t="n">
        <f aca="false">COUNTA('E2E Scenarios'!G2:G5)</f>
        <v>4</v>
      </c>
      <c r="C10" s="9" t="n">
        <f aca="false">COUNTIF('E2E Scenarios'!G2:G5,"Pass")</f>
        <v>2</v>
      </c>
      <c r="D10" s="9" t="n">
        <f aca="false">COUNTIF('E2E Scenarios'!G2:G5,"Fail")</f>
        <v>1</v>
      </c>
      <c r="E10" s="9" t="n">
        <f aca="false">COUNTIF('E2E Scenarios'!G2:G5,"Blocked")</f>
        <v>0</v>
      </c>
      <c r="F10" s="9" t="n">
        <f aca="false">COUNTIF('E2E Scenarios'!G2:G5,"Not Run")</f>
        <v>1</v>
      </c>
      <c r="G10" s="10" t="n">
        <f aca="false">IF(B10=0,0,C10/B10)</f>
        <v>0.5</v>
      </c>
    </row>
    <row r="11" customFormat="false" ht="15" hidden="false" customHeight="false" outlineLevel="0" collapsed="false">
      <c r="A11" s="9" t="s">
        <v>80</v>
      </c>
      <c r="B11" s="9" t="n">
        <f aca="false">COUNTA('API Tests (Postman)'!J2:J16)</f>
        <v>15</v>
      </c>
      <c r="C11" s="9" t="n">
        <f aca="false">COUNTIF('API Tests (Postman)'!J2:J16,"Pass")</f>
        <v>11</v>
      </c>
      <c r="D11" s="9" t="n">
        <f aca="false">COUNTIF('API Tests (Postman)'!J2:J16,"Fail")</f>
        <v>3</v>
      </c>
      <c r="E11" s="9" t="n">
        <f aca="false">COUNTIF('API Tests (Postman)'!J2:J16,"Blocked")</f>
        <v>0</v>
      </c>
      <c r="F11" s="9" t="n">
        <f aca="false">COUNTIF('API Tests (Postman)'!J2:J16,"Not Run")</f>
        <v>1</v>
      </c>
      <c r="G11" s="10" t="n">
        <f aca="false">IF(B11=0,0,C11/B11)</f>
        <v>0.733333333333333</v>
      </c>
    </row>
    <row r="12" customFormat="false" ht="15" hidden="false" customHeight="false" outlineLevel="0" collapsed="false">
      <c r="A12" s="9" t="s">
        <v>81</v>
      </c>
      <c r="B12" s="9" t="n">
        <f aca="false">COUNTA('DB Testing'!G2:G21)</f>
        <v>20</v>
      </c>
      <c r="C12" s="9" t="n">
        <f aca="false">COUNTIF('DB Testing'!G2:G21,"Pass")</f>
        <v>16</v>
      </c>
      <c r="D12" s="9" t="n">
        <f aca="false">COUNTIF('DB Testing'!G2:G21,"Fail")</f>
        <v>4</v>
      </c>
      <c r="E12" s="9" t="n">
        <f aca="false">COUNTIF('DB Testing'!G2:G21,"Blocked")</f>
        <v>0</v>
      </c>
      <c r="F12" s="9" t="n">
        <f aca="false">COUNTIF('DB Testing'!G2:G21,"Not Run")</f>
        <v>0</v>
      </c>
      <c r="G12" s="10" t="n">
        <f aca="false">IF(B12=0,0,C12/B12)</f>
        <v>0.8</v>
      </c>
    </row>
    <row r="13" customFormat="false" ht="15" hidden="false" customHeight="false" outlineLevel="0" collapsed="false">
      <c r="A13" s="11" t="s">
        <v>82</v>
      </c>
      <c r="B13" s="11" t="n">
        <f aca="false">SUM(B5:B12)</f>
        <v>120</v>
      </c>
      <c r="C13" s="11" t="n">
        <f aca="false">SUM(C5:C12)</f>
        <v>98</v>
      </c>
      <c r="D13" s="11" t="n">
        <f aca="false">SUM(D5:D12)</f>
        <v>16</v>
      </c>
      <c r="E13" s="11" t="n">
        <f aca="false">SUM(E5:E12)</f>
        <v>2</v>
      </c>
      <c r="F13" s="11" t="n">
        <f aca="false">SUM(F5:F12)</f>
        <v>4</v>
      </c>
      <c r="G13" s="12" t="n">
        <f aca="false">IF(B13=0,0,C13/B13)</f>
        <v>0.816666666666667</v>
      </c>
    </row>
    <row r="15" customFormat="false" ht="15" hidden="false" customHeight="false" outlineLevel="0" collapsed="false">
      <c r="A15" s="13" t="s">
        <v>83</v>
      </c>
      <c r="B15" s="13" t="n">
        <f aca="false">COUNTIF(Exploratory!H2:H7,"Completed")</f>
        <v>5</v>
      </c>
      <c r="C15" s="13" t="n">
        <f aca="false">COUNTA(Exploratory!H2:H7)</f>
        <v>6</v>
      </c>
      <c r="D15" s="14" t="s">
        <v>84</v>
      </c>
    </row>
    <row r="17" customFormat="false" ht="15" hidden="false" customHeight="false" outlineLevel="0" collapsed="false">
      <c r="A17" s="15" t="s">
        <v>85</v>
      </c>
      <c r="B17" s="15" t="s">
        <v>86</v>
      </c>
    </row>
    <row r="18" customFormat="false" ht="15" hidden="false" customHeight="false" outlineLevel="0" collapsed="false">
      <c r="A18" s="9" t="s">
        <v>87</v>
      </c>
      <c r="B18" s="9" t="n">
        <f aca="false">COUNTIF('Defect Log'!G2:G60,A18)</f>
        <v>4</v>
      </c>
    </row>
    <row r="19" customFormat="false" ht="15" hidden="false" customHeight="false" outlineLevel="0" collapsed="false">
      <c r="A19" s="9" t="s">
        <v>88</v>
      </c>
      <c r="B19" s="9" t="n">
        <f aca="false">COUNTIF('Defect Log'!G2:G60,A19)</f>
        <v>3</v>
      </c>
    </row>
    <row r="20" customFormat="false" ht="15" hidden="false" customHeight="false" outlineLevel="0" collapsed="false">
      <c r="A20" s="9" t="s">
        <v>89</v>
      </c>
      <c r="B20" s="9" t="n">
        <f aca="false">COUNTIF('Defect Log'!G2:G60,A20)</f>
        <v>2</v>
      </c>
    </row>
    <row r="21" customFormat="false" ht="15" hidden="false" customHeight="false" outlineLevel="0" collapsed="false">
      <c r="A21" s="9" t="s">
        <v>90</v>
      </c>
      <c r="B21" s="9" t="n">
        <f aca="false">COUNTIF('Defect Log'!G2:G60,A21)</f>
        <v>0</v>
      </c>
    </row>
    <row r="23" customFormat="false" ht="15" hidden="false" customHeight="false" outlineLevel="0" collapsed="false">
      <c r="A23" s="15" t="s">
        <v>91</v>
      </c>
      <c r="B23" s="15" t="s">
        <v>86</v>
      </c>
    </row>
    <row r="24" customFormat="false" ht="15" hidden="false" customHeight="false" outlineLevel="0" collapsed="false">
      <c r="A24" s="9" t="s">
        <v>92</v>
      </c>
      <c r="B24" s="9" t="n">
        <f aca="false">COUNTIF('Defect Log'!M2:M60,A24)</f>
        <v>6</v>
      </c>
    </row>
    <row r="25" customFormat="false" ht="15" hidden="false" customHeight="false" outlineLevel="0" collapsed="false">
      <c r="A25" s="9" t="s">
        <v>93</v>
      </c>
      <c r="B25" s="9" t="n">
        <f aca="false">COUNTIF('Defect Log'!M2:M60,A25)</f>
        <v>2</v>
      </c>
    </row>
    <row r="26" customFormat="false" ht="15" hidden="false" customHeight="false" outlineLevel="0" collapsed="false">
      <c r="A26" s="9" t="s">
        <v>94</v>
      </c>
      <c r="B26" s="9" t="n">
        <f aca="false">COUNTIF('Defect Log'!M2:M60,A26)</f>
        <v>1</v>
      </c>
    </row>
    <row r="27" customFormat="false" ht="15" hidden="false" customHeight="false" outlineLevel="0" collapsed="false">
      <c r="A27" s="9" t="s">
        <v>95</v>
      </c>
      <c r="B27" s="9" t="n">
        <f aca="false">COUNTIF('Defect Log'!M2:M60,A27)</f>
        <v>0</v>
      </c>
    </row>
    <row r="28" customFormat="false" ht="15" hidden="false" customHeight="false" outlineLevel="0" collapsed="false">
      <c r="A28" s="9" t="s">
        <v>96</v>
      </c>
      <c r="B28" s="9" t="n">
        <f aca="false">COUNTIF('Defect Log'!M2:M60,A28)</f>
        <v>0</v>
      </c>
    </row>
    <row r="30" customFormat="false" ht="15" hidden="false" customHeight="false" outlineLevel="0" collapsed="false">
      <c r="A30" s="16" t="s">
        <v>97</v>
      </c>
      <c r="B30" s="16" t="n">
        <f aca="false">COUNTA('Defect Log'!A2:A60)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36"/>
    <col collapsed="false" customWidth="true" hidden="false" outlineLevel="0" max="9" min="9" style="0" width="3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</cols>
  <sheetData>
    <row r="1" customFormat="false" ht="23.85" hidden="false" customHeight="false" outlineLevel="0" collapsed="false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</row>
    <row r="2" customFormat="false" ht="46.25" hidden="false" customHeight="false" outlineLevel="0" collapsed="false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116</v>
      </c>
      <c r="G2" s="2" t="s">
        <v>117</v>
      </c>
      <c r="H2" s="2" t="s">
        <v>118</v>
      </c>
      <c r="I2" s="2" t="s">
        <v>119</v>
      </c>
      <c r="J2" s="2" t="s">
        <v>72</v>
      </c>
      <c r="K2" s="2"/>
      <c r="L2" s="2" t="s">
        <v>120</v>
      </c>
      <c r="M2" s="2" t="s">
        <v>121</v>
      </c>
    </row>
    <row r="3" customFormat="false" ht="23.85" hidden="false" customHeight="false" outlineLevel="0" collapsed="false">
      <c r="A3" s="2" t="s">
        <v>122</v>
      </c>
      <c r="B3" s="2" t="s">
        <v>112</v>
      </c>
      <c r="C3" s="2" t="s">
        <v>123</v>
      </c>
      <c r="D3" s="2" t="s">
        <v>114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119</v>
      </c>
      <c r="J3" s="2" t="s">
        <v>72</v>
      </c>
      <c r="K3" s="2"/>
      <c r="L3" s="2" t="s">
        <v>120</v>
      </c>
      <c r="M3" s="2" t="s">
        <v>121</v>
      </c>
    </row>
    <row r="4" customFormat="false" ht="35.05" hidden="false" customHeight="false" outlineLevel="0" collapsed="false">
      <c r="A4" s="2" t="s">
        <v>128</v>
      </c>
      <c r="B4" s="2" t="s">
        <v>112</v>
      </c>
      <c r="C4" s="2" t="s">
        <v>129</v>
      </c>
      <c r="D4" s="2" t="s">
        <v>114</v>
      </c>
      <c r="E4" s="2" t="s">
        <v>130</v>
      </c>
      <c r="F4" s="2" t="s">
        <v>131</v>
      </c>
      <c r="G4" s="2" t="s">
        <v>132</v>
      </c>
      <c r="H4" s="2" t="s">
        <v>133</v>
      </c>
      <c r="I4" s="2" t="s">
        <v>134</v>
      </c>
      <c r="J4" s="2" t="s">
        <v>73</v>
      </c>
      <c r="K4" s="2" t="s">
        <v>135</v>
      </c>
      <c r="L4" s="2" t="s">
        <v>120</v>
      </c>
      <c r="M4" s="2" t="s">
        <v>121</v>
      </c>
    </row>
    <row r="5" customFormat="false" ht="23.85" hidden="false" customHeight="false" outlineLevel="0" collapsed="false">
      <c r="A5" s="2" t="s">
        <v>136</v>
      </c>
      <c r="B5" s="2" t="s">
        <v>137</v>
      </c>
      <c r="C5" s="2" t="s">
        <v>138</v>
      </c>
      <c r="D5" s="2" t="s">
        <v>114</v>
      </c>
      <c r="E5" s="2" t="s">
        <v>139</v>
      </c>
      <c r="F5" s="2" t="s">
        <v>140</v>
      </c>
      <c r="G5" s="2" t="s">
        <v>141</v>
      </c>
      <c r="H5" s="2" t="s">
        <v>142</v>
      </c>
      <c r="I5" s="2" t="s">
        <v>119</v>
      </c>
      <c r="J5" s="2" t="s">
        <v>72</v>
      </c>
      <c r="K5" s="2"/>
      <c r="L5" s="2" t="s">
        <v>120</v>
      </c>
      <c r="M5" s="2" t="s">
        <v>121</v>
      </c>
    </row>
    <row r="6" customFormat="false" ht="35.05" hidden="false" customHeight="false" outlineLevel="0" collapsed="false">
      <c r="A6" s="2" t="s">
        <v>143</v>
      </c>
      <c r="B6" s="2" t="s">
        <v>144</v>
      </c>
      <c r="C6" s="2" t="s">
        <v>145</v>
      </c>
      <c r="D6" s="2" t="s">
        <v>114</v>
      </c>
      <c r="E6" s="2" t="s">
        <v>146</v>
      </c>
      <c r="F6" s="2" t="s">
        <v>147</v>
      </c>
      <c r="G6" s="2" t="s">
        <v>148</v>
      </c>
      <c r="H6" s="2" t="s">
        <v>149</v>
      </c>
      <c r="I6" s="2" t="s">
        <v>119</v>
      </c>
      <c r="J6" s="2" t="s">
        <v>72</v>
      </c>
      <c r="K6" s="2"/>
      <c r="L6" s="2" t="s">
        <v>120</v>
      </c>
      <c r="M6" s="2" t="s">
        <v>121</v>
      </c>
    </row>
    <row r="7" customFormat="false" ht="15" hidden="false" customHeight="false" outlineLevel="0" collapsed="false">
      <c r="A7" s="2" t="s">
        <v>150</v>
      </c>
      <c r="B7" s="2" t="s">
        <v>144</v>
      </c>
      <c r="C7" s="2" t="s">
        <v>151</v>
      </c>
      <c r="D7" s="2" t="s">
        <v>152</v>
      </c>
      <c r="E7" s="2" t="s">
        <v>146</v>
      </c>
      <c r="F7" s="2" t="s">
        <v>153</v>
      </c>
      <c r="G7" s="2" t="s">
        <v>154</v>
      </c>
      <c r="H7" s="2" t="s">
        <v>155</v>
      </c>
      <c r="I7" s="2" t="s">
        <v>119</v>
      </c>
      <c r="J7" s="2" t="s">
        <v>72</v>
      </c>
      <c r="K7" s="2"/>
      <c r="L7" s="2" t="s">
        <v>120</v>
      </c>
      <c r="M7" s="2" t="s">
        <v>121</v>
      </c>
    </row>
    <row r="8" customFormat="false" ht="35.05" hidden="false" customHeight="false" outlineLevel="0" collapsed="false">
      <c r="A8" s="2" t="s">
        <v>156</v>
      </c>
      <c r="B8" s="2" t="s">
        <v>157</v>
      </c>
      <c r="C8" s="2" t="s">
        <v>158</v>
      </c>
      <c r="D8" s="2" t="s">
        <v>87</v>
      </c>
      <c r="E8" s="2" t="s">
        <v>159</v>
      </c>
      <c r="F8" s="2" t="s">
        <v>160</v>
      </c>
      <c r="G8" s="2" t="s">
        <v>161</v>
      </c>
      <c r="H8" s="2" t="s">
        <v>162</v>
      </c>
      <c r="I8" s="2" t="s">
        <v>163</v>
      </c>
      <c r="J8" s="2" t="s">
        <v>72</v>
      </c>
      <c r="K8" s="2"/>
      <c r="L8" s="2" t="s">
        <v>120</v>
      </c>
      <c r="M8" s="2" t="s">
        <v>121</v>
      </c>
    </row>
    <row r="9" customFormat="false" ht="23.85" hidden="false" customHeight="false" outlineLevel="0" collapsed="false">
      <c r="A9" s="2" t="s">
        <v>164</v>
      </c>
      <c r="B9" s="2" t="s">
        <v>157</v>
      </c>
      <c r="C9" s="2" t="s">
        <v>165</v>
      </c>
      <c r="D9" s="2" t="s">
        <v>114</v>
      </c>
      <c r="E9" s="2" t="s">
        <v>166</v>
      </c>
      <c r="F9" s="2" t="s">
        <v>167</v>
      </c>
      <c r="G9" s="2" t="s">
        <v>168</v>
      </c>
      <c r="H9" s="2" t="s">
        <v>169</v>
      </c>
      <c r="I9" s="2" t="s">
        <v>119</v>
      </c>
      <c r="J9" s="2" t="s">
        <v>72</v>
      </c>
      <c r="K9" s="2"/>
      <c r="L9" s="2" t="s">
        <v>120</v>
      </c>
      <c r="M9" s="2" t="s">
        <v>121</v>
      </c>
    </row>
    <row r="10" customFormat="false" ht="23.85" hidden="false" customHeight="false" outlineLevel="0" collapsed="false">
      <c r="A10" s="2" t="s">
        <v>170</v>
      </c>
      <c r="B10" s="2" t="s">
        <v>157</v>
      </c>
      <c r="C10" s="2" t="s">
        <v>171</v>
      </c>
      <c r="D10" s="2" t="s">
        <v>152</v>
      </c>
      <c r="E10" s="2" t="s">
        <v>146</v>
      </c>
      <c r="F10" s="2" t="s">
        <v>172</v>
      </c>
      <c r="G10" s="2" t="s">
        <v>173</v>
      </c>
      <c r="H10" s="2" t="s">
        <v>174</v>
      </c>
      <c r="I10" s="2" t="s">
        <v>119</v>
      </c>
      <c r="J10" s="2" t="s">
        <v>72</v>
      </c>
      <c r="K10" s="2"/>
      <c r="L10" s="2" t="s">
        <v>120</v>
      </c>
      <c r="M10" s="2" t="s">
        <v>121</v>
      </c>
    </row>
    <row r="11" customFormat="false" ht="23.85" hidden="false" customHeight="false" outlineLevel="0" collapsed="false">
      <c r="A11" s="2" t="s">
        <v>175</v>
      </c>
      <c r="B11" s="2" t="s">
        <v>157</v>
      </c>
      <c r="C11" s="2" t="s">
        <v>176</v>
      </c>
      <c r="D11" s="2" t="s">
        <v>152</v>
      </c>
      <c r="E11" s="2" t="s">
        <v>146</v>
      </c>
      <c r="F11" s="2" t="s">
        <v>177</v>
      </c>
      <c r="G11" s="2" t="s">
        <v>178</v>
      </c>
      <c r="H11" s="2" t="s">
        <v>179</v>
      </c>
      <c r="I11" s="2" t="s">
        <v>119</v>
      </c>
      <c r="J11" s="2" t="s">
        <v>72</v>
      </c>
      <c r="K11" s="2"/>
      <c r="L11" s="2" t="s">
        <v>120</v>
      </c>
      <c r="M11" s="2" t="s">
        <v>121</v>
      </c>
    </row>
    <row r="12" customFormat="false" ht="35.05" hidden="false" customHeight="false" outlineLevel="0" collapsed="false">
      <c r="A12" s="2" t="s">
        <v>180</v>
      </c>
      <c r="B12" s="2" t="s">
        <v>157</v>
      </c>
      <c r="C12" s="2" t="s">
        <v>181</v>
      </c>
      <c r="D12" s="2" t="s">
        <v>87</v>
      </c>
      <c r="E12" s="2" t="s">
        <v>182</v>
      </c>
      <c r="F12" s="2" t="s">
        <v>183</v>
      </c>
      <c r="G12" s="2" t="s">
        <v>184</v>
      </c>
      <c r="H12" s="2" t="s">
        <v>185</v>
      </c>
      <c r="I12" s="2" t="s">
        <v>186</v>
      </c>
      <c r="J12" s="2" t="s">
        <v>73</v>
      </c>
      <c r="K12" s="2" t="s">
        <v>187</v>
      </c>
      <c r="L12" s="2" t="s">
        <v>120</v>
      </c>
      <c r="M12" s="2" t="s">
        <v>121</v>
      </c>
    </row>
    <row r="13" customFormat="false" ht="23.85" hidden="false" customHeight="false" outlineLevel="0" collapsed="false">
      <c r="A13" s="2" t="s">
        <v>188</v>
      </c>
      <c r="B13" s="2" t="s">
        <v>157</v>
      </c>
      <c r="C13" s="2" t="s">
        <v>189</v>
      </c>
      <c r="D13" s="2" t="s">
        <v>87</v>
      </c>
      <c r="E13" s="2" t="s">
        <v>190</v>
      </c>
      <c r="F13" s="2" t="s">
        <v>191</v>
      </c>
      <c r="G13" s="2" t="s">
        <v>192</v>
      </c>
      <c r="H13" s="2" t="s">
        <v>193</v>
      </c>
      <c r="I13" s="2" t="s">
        <v>194</v>
      </c>
      <c r="J13" s="2" t="s">
        <v>73</v>
      </c>
      <c r="K13" s="2" t="s">
        <v>195</v>
      </c>
      <c r="L13" s="2" t="s">
        <v>120</v>
      </c>
      <c r="M13" s="2" t="s">
        <v>121</v>
      </c>
    </row>
    <row r="14" customFormat="false" ht="23.85" hidden="false" customHeight="false" outlineLevel="0" collapsed="false">
      <c r="A14" s="2" t="s">
        <v>196</v>
      </c>
      <c r="B14" s="2" t="s">
        <v>157</v>
      </c>
      <c r="C14" s="2" t="s">
        <v>197</v>
      </c>
      <c r="D14" s="2" t="s">
        <v>152</v>
      </c>
      <c r="E14" s="2" t="s">
        <v>198</v>
      </c>
      <c r="F14" s="2" t="s">
        <v>199</v>
      </c>
      <c r="G14" s="2" t="s">
        <v>200</v>
      </c>
      <c r="H14" s="2" t="s">
        <v>201</v>
      </c>
      <c r="I14" s="2" t="s">
        <v>119</v>
      </c>
      <c r="J14" s="2" t="s">
        <v>72</v>
      </c>
      <c r="K14" s="2"/>
      <c r="L14" s="2" t="s">
        <v>120</v>
      </c>
      <c r="M14" s="2" t="s">
        <v>121</v>
      </c>
    </row>
    <row r="15" customFormat="false" ht="23.85" hidden="false" customHeight="false" outlineLevel="0" collapsed="false">
      <c r="A15" s="2" t="s">
        <v>202</v>
      </c>
      <c r="B15" s="2" t="s">
        <v>157</v>
      </c>
      <c r="C15" s="2" t="s">
        <v>203</v>
      </c>
      <c r="D15" s="2" t="s">
        <v>114</v>
      </c>
      <c r="E15" s="2" t="s">
        <v>204</v>
      </c>
      <c r="F15" s="2" t="s">
        <v>205</v>
      </c>
      <c r="G15" s="2" t="s">
        <v>206</v>
      </c>
      <c r="H15" s="2" t="s">
        <v>207</v>
      </c>
      <c r="I15" s="2" t="s">
        <v>119</v>
      </c>
      <c r="J15" s="2" t="s">
        <v>72</v>
      </c>
      <c r="K15" s="2"/>
      <c r="L15" s="2" t="s">
        <v>120</v>
      </c>
      <c r="M15" s="2" t="s">
        <v>121</v>
      </c>
    </row>
    <row r="16" customFormat="false" ht="35.05" hidden="false" customHeight="false" outlineLevel="0" collapsed="false">
      <c r="A16" s="2" t="s">
        <v>208</v>
      </c>
      <c r="B16" s="2" t="s">
        <v>209</v>
      </c>
      <c r="C16" s="2" t="s">
        <v>210</v>
      </c>
      <c r="D16" s="2" t="s">
        <v>152</v>
      </c>
      <c r="E16" s="2" t="s">
        <v>211</v>
      </c>
      <c r="F16" s="2" t="s">
        <v>212</v>
      </c>
      <c r="G16" s="2" t="s">
        <v>213</v>
      </c>
      <c r="H16" s="2" t="s">
        <v>214</v>
      </c>
      <c r="I16" s="2" t="s">
        <v>119</v>
      </c>
      <c r="J16" s="2" t="s">
        <v>72</v>
      </c>
      <c r="K16" s="2"/>
      <c r="L16" s="2" t="s">
        <v>120</v>
      </c>
      <c r="M16" s="2" t="s">
        <v>121</v>
      </c>
    </row>
    <row r="17" customFormat="false" ht="23.85" hidden="false" customHeight="false" outlineLevel="0" collapsed="false">
      <c r="A17" s="2" t="s">
        <v>215</v>
      </c>
      <c r="B17" s="2" t="s">
        <v>216</v>
      </c>
      <c r="C17" s="2" t="s">
        <v>217</v>
      </c>
      <c r="D17" s="2" t="s">
        <v>152</v>
      </c>
      <c r="E17" s="2" t="s">
        <v>218</v>
      </c>
      <c r="F17" s="2" t="s">
        <v>219</v>
      </c>
      <c r="G17" s="2" t="s">
        <v>220</v>
      </c>
      <c r="H17" s="2" t="s">
        <v>221</v>
      </c>
      <c r="I17" s="2" t="s">
        <v>119</v>
      </c>
      <c r="J17" s="2" t="s">
        <v>72</v>
      </c>
      <c r="K17" s="2"/>
      <c r="L17" s="2" t="s">
        <v>120</v>
      </c>
      <c r="M17" s="2" t="s">
        <v>121</v>
      </c>
    </row>
    <row r="18" customFormat="false" ht="23.85" hidden="false" customHeight="false" outlineLevel="0" collapsed="false">
      <c r="A18" s="2" t="s">
        <v>222</v>
      </c>
      <c r="B18" s="2" t="s">
        <v>216</v>
      </c>
      <c r="C18" s="2" t="s">
        <v>223</v>
      </c>
      <c r="D18" s="2" t="s">
        <v>152</v>
      </c>
      <c r="E18" s="2" t="s">
        <v>224</v>
      </c>
      <c r="F18" s="2" t="s">
        <v>225</v>
      </c>
      <c r="G18" s="2" t="s">
        <v>226</v>
      </c>
      <c r="H18" s="2" t="s">
        <v>227</v>
      </c>
      <c r="I18" s="2" t="s">
        <v>228</v>
      </c>
      <c r="J18" s="2" t="s">
        <v>73</v>
      </c>
      <c r="K18" s="2" t="s">
        <v>229</v>
      </c>
      <c r="L18" s="2" t="s">
        <v>120</v>
      </c>
      <c r="M18" s="2" t="s">
        <v>121</v>
      </c>
    </row>
    <row r="19" customFormat="false" ht="23.85" hidden="false" customHeight="false" outlineLevel="0" collapsed="false">
      <c r="A19" s="2" t="s">
        <v>230</v>
      </c>
      <c r="B19" s="2" t="s">
        <v>231</v>
      </c>
      <c r="C19" s="2" t="s">
        <v>232</v>
      </c>
      <c r="D19" s="2" t="s">
        <v>114</v>
      </c>
      <c r="E19" s="2" t="s">
        <v>146</v>
      </c>
      <c r="F19" s="2" t="s">
        <v>233</v>
      </c>
      <c r="G19" s="2" t="s">
        <v>234</v>
      </c>
      <c r="H19" s="2" t="s">
        <v>235</v>
      </c>
      <c r="I19" s="2" t="s">
        <v>119</v>
      </c>
      <c r="J19" s="2" t="s">
        <v>72</v>
      </c>
      <c r="K19" s="2"/>
      <c r="L19" s="2" t="s">
        <v>120</v>
      </c>
      <c r="M19" s="2" t="s">
        <v>121</v>
      </c>
    </row>
    <row r="20" customFormat="false" ht="23.85" hidden="false" customHeight="false" outlineLevel="0" collapsed="false">
      <c r="A20" s="2" t="s">
        <v>236</v>
      </c>
      <c r="B20" s="2" t="s">
        <v>231</v>
      </c>
      <c r="C20" s="2" t="s">
        <v>237</v>
      </c>
      <c r="D20" s="2" t="s">
        <v>114</v>
      </c>
      <c r="E20" s="2" t="s">
        <v>146</v>
      </c>
      <c r="F20" s="2" t="s">
        <v>238</v>
      </c>
      <c r="G20" s="2" t="s">
        <v>239</v>
      </c>
      <c r="H20" s="2" t="s">
        <v>240</v>
      </c>
      <c r="I20" s="2" t="s">
        <v>119</v>
      </c>
      <c r="J20" s="2" t="s">
        <v>72</v>
      </c>
      <c r="K20" s="2"/>
      <c r="L20" s="2" t="s">
        <v>120</v>
      </c>
      <c r="M20" s="2" t="s">
        <v>121</v>
      </c>
    </row>
    <row r="21" customFormat="false" ht="23.85" hidden="false" customHeight="false" outlineLevel="0" collapsed="false">
      <c r="A21" s="2" t="s">
        <v>241</v>
      </c>
      <c r="B21" s="2" t="s">
        <v>242</v>
      </c>
      <c r="C21" s="2" t="s">
        <v>243</v>
      </c>
      <c r="D21" s="2" t="s">
        <v>114</v>
      </c>
      <c r="E21" s="2" t="s">
        <v>244</v>
      </c>
      <c r="F21" s="2" t="s">
        <v>245</v>
      </c>
      <c r="G21" s="2" t="s">
        <v>246</v>
      </c>
      <c r="H21" s="2" t="s">
        <v>247</v>
      </c>
      <c r="I21" s="2" t="s">
        <v>248</v>
      </c>
      <c r="J21" s="2" t="s">
        <v>74</v>
      </c>
      <c r="K21" s="2"/>
      <c r="L21" s="2" t="s">
        <v>120</v>
      </c>
      <c r="M21" s="2" t="s">
        <v>121</v>
      </c>
    </row>
  </sheetData>
  <autoFilter ref="A1:M21"/>
  <conditionalFormatting sqref="J2:J21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"Not Run"</formula>
    </cfRule>
  </conditionalFormatting>
  <dataValidations count="1">
    <dataValidation allowBlank="true" errorStyle="stop" operator="between" showDropDown="false" showErrorMessage="false" showInputMessage="false" sqref="J2:J21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56"/>
    <col collapsed="false" customWidth="true" hidden="false" outlineLevel="0" max="8" min="7" style="0" width="12"/>
  </cols>
  <sheetData>
    <row r="1" customFormat="false" ht="15" hidden="false" customHeight="false" outlineLevel="0" collapsed="false">
      <c r="A1" s="1" t="s">
        <v>249</v>
      </c>
      <c r="B1" s="1" t="s">
        <v>2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108</v>
      </c>
      <c r="H1" s="1" t="s">
        <v>107</v>
      </c>
    </row>
    <row r="2" customFormat="false" ht="23.85" hidden="false" customHeight="false" outlineLevel="0" collapsed="false">
      <c r="A2" s="2" t="s">
        <v>254</v>
      </c>
      <c r="B2" s="2" t="s">
        <v>157</v>
      </c>
      <c r="C2" s="2" t="s">
        <v>255</v>
      </c>
      <c r="D2" s="2" t="s">
        <v>256</v>
      </c>
      <c r="E2" s="2" t="s">
        <v>120</v>
      </c>
      <c r="F2" s="2" t="s">
        <v>257</v>
      </c>
      <c r="G2" s="2" t="s">
        <v>258</v>
      </c>
      <c r="H2" s="2" t="s">
        <v>259</v>
      </c>
    </row>
    <row r="3" customFormat="false" ht="23.85" hidden="false" customHeight="false" outlineLevel="0" collapsed="false">
      <c r="A3" s="2" t="s">
        <v>260</v>
      </c>
      <c r="B3" s="2" t="s">
        <v>261</v>
      </c>
      <c r="C3" s="2" t="s">
        <v>262</v>
      </c>
      <c r="D3" s="2" t="s">
        <v>263</v>
      </c>
      <c r="E3" s="2" t="s">
        <v>120</v>
      </c>
      <c r="F3" s="2" t="s">
        <v>264</v>
      </c>
      <c r="G3" s="2" t="s">
        <v>239</v>
      </c>
      <c r="H3" s="2" t="s">
        <v>259</v>
      </c>
    </row>
    <row r="4" customFormat="false" ht="23.85" hidden="false" customHeight="false" outlineLevel="0" collapsed="false">
      <c r="A4" s="2" t="s">
        <v>265</v>
      </c>
      <c r="B4" s="2" t="s">
        <v>266</v>
      </c>
      <c r="C4" s="2" t="s">
        <v>267</v>
      </c>
      <c r="D4" s="2" t="s">
        <v>256</v>
      </c>
      <c r="E4" s="2" t="s">
        <v>120</v>
      </c>
      <c r="F4" s="2" t="s">
        <v>268</v>
      </c>
      <c r="G4" s="2" t="s">
        <v>269</v>
      </c>
      <c r="H4" s="2" t="s">
        <v>259</v>
      </c>
    </row>
    <row r="5" customFormat="false" ht="23.85" hidden="false" customHeight="false" outlineLevel="0" collapsed="false">
      <c r="A5" s="2" t="s">
        <v>270</v>
      </c>
      <c r="B5" s="2" t="s">
        <v>144</v>
      </c>
      <c r="C5" s="2" t="s">
        <v>271</v>
      </c>
      <c r="D5" s="2" t="s">
        <v>272</v>
      </c>
      <c r="E5" s="2" t="s">
        <v>120</v>
      </c>
      <c r="F5" s="2" t="s">
        <v>273</v>
      </c>
      <c r="G5" s="2" t="s">
        <v>239</v>
      </c>
      <c r="H5" s="2" t="s">
        <v>259</v>
      </c>
    </row>
    <row r="6" customFormat="false" ht="23.85" hidden="false" customHeight="false" outlineLevel="0" collapsed="false">
      <c r="A6" s="2" t="s">
        <v>274</v>
      </c>
      <c r="B6" s="2" t="s">
        <v>275</v>
      </c>
      <c r="C6" s="2" t="s">
        <v>276</v>
      </c>
      <c r="D6" s="2" t="s">
        <v>272</v>
      </c>
      <c r="E6" s="2" t="s">
        <v>120</v>
      </c>
      <c r="F6" s="2" t="s">
        <v>277</v>
      </c>
      <c r="G6" s="2" t="s">
        <v>229</v>
      </c>
      <c r="H6" s="2" t="s">
        <v>259</v>
      </c>
    </row>
    <row r="7" customFormat="false" ht="15" hidden="false" customHeight="false" outlineLevel="0" collapsed="false">
      <c r="A7" s="2" t="s">
        <v>278</v>
      </c>
      <c r="B7" s="2" t="s">
        <v>279</v>
      </c>
      <c r="C7" s="2" t="s">
        <v>280</v>
      </c>
      <c r="D7" s="2" t="s">
        <v>263</v>
      </c>
      <c r="E7" s="2" t="s">
        <v>120</v>
      </c>
      <c r="F7" s="2" t="s">
        <v>281</v>
      </c>
      <c r="G7" s="2" t="s">
        <v>239</v>
      </c>
      <c r="H7" s="2" t="s">
        <v>282</v>
      </c>
    </row>
  </sheetData>
  <autoFilter ref="A1:H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38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23.85" hidden="false" customHeight="false" outlineLevel="0" collapsed="false">
      <c r="A1" s="1" t="s">
        <v>283</v>
      </c>
      <c r="B1" s="1" t="s">
        <v>284</v>
      </c>
      <c r="C1" s="1" t="s">
        <v>103</v>
      </c>
      <c r="D1" s="1" t="s">
        <v>105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108</v>
      </c>
      <c r="L1" s="1" t="s">
        <v>291</v>
      </c>
    </row>
    <row r="2" customFormat="false" ht="15" hidden="false" customHeight="false" outlineLevel="0" collapsed="false">
      <c r="A2" s="2" t="s">
        <v>292</v>
      </c>
      <c r="B2" s="2" t="s">
        <v>293</v>
      </c>
      <c r="C2" s="2" t="s">
        <v>294</v>
      </c>
      <c r="D2" s="2" t="s">
        <v>295</v>
      </c>
      <c r="E2" s="2" t="s">
        <v>72</v>
      </c>
      <c r="F2" s="2" t="s">
        <v>72</v>
      </c>
      <c r="G2" s="2" t="s">
        <v>72</v>
      </c>
      <c r="H2" s="2" t="s">
        <v>72</v>
      </c>
      <c r="I2" s="2" t="s">
        <v>72</v>
      </c>
      <c r="J2" s="2" t="s">
        <v>72</v>
      </c>
      <c r="K2" s="2"/>
      <c r="L2" s="2"/>
    </row>
    <row r="3" customFormat="false" ht="23.85" hidden="false" customHeight="false" outlineLevel="0" collapsed="false">
      <c r="A3" s="2" t="s">
        <v>296</v>
      </c>
      <c r="B3" s="2" t="s">
        <v>297</v>
      </c>
      <c r="C3" s="2" t="s">
        <v>298</v>
      </c>
      <c r="D3" s="2" t="s">
        <v>299</v>
      </c>
      <c r="E3" s="2" t="s">
        <v>72</v>
      </c>
      <c r="F3" s="2" t="s">
        <v>72</v>
      </c>
      <c r="G3" s="2" t="s">
        <v>72</v>
      </c>
      <c r="H3" s="2" t="s">
        <v>72</v>
      </c>
      <c r="I3" s="2" t="s">
        <v>72</v>
      </c>
      <c r="J3" s="2" t="s">
        <v>72</v>
      </c>
      <c r="K3" s="2"/>
      <c r="L3" s="2"/>
    </row>
    <row r="4" customFormat="false" ht="23.85" hidden="false" customHeight="false" outlineLevel="0" collapsed="false">
      <c r="A4" s="2" t="s">
        <v>300</v>
      </c>
      <c r="B4" s="2" t="s">
        <v>301</v>
      </c>
      <c r="C4" s="2" t="s">
        <v>302</v>
      </c>
      <c r="D4" s="2" t="s">
        <v>303</v>
      </c>
      <c r="E4" s="2" t="s">
        <v>72</v>
      </c>
      <c r="F4" s="2" t="s">
        <v>72</v>
      </c>
      <c r="G4" s="2" t="s">
        <v>72</v>
      </c>
      <c r="H4" s="2" t="s">
        <v>73</v>
      </c>
      <c r="I4" s="2" t="s">
        <v>72</v>
      </c>
      <c r="J4" s="2" t="s">
        <v>72</v>
      </c>
      <c r="K4" s="2" t="s">
        <v>304</v>
      </c>
      <c r="L4" s="2" t="s">
        <v>305</v>
      </c>
    </row>
    <row r="5" customFormat="false" ht="15" hidden="false" customHeight="false" outlineLevel="0" collapsed="false">
      <c r="A5" s="2" t="s">
        <v>306</v>
      </c>
      <c r="B5" s="2" t="s">
        <v>307</v>
      </c>
      <c r="C5" s="2" t="s">
        <v>308</v>
      </c>
      <c r="D5" s="2" t="s">
        <v>309</v>
      </c>
      <c r="E5" s="2" t="s">
        <v>72</v>
      </c>
      <c r="F5" s="2" t="s">
        <v>72</v>
      </c>
      <c r="G5" s="2" t="s">
        <v>72</v>
      </c>
      <c r="H5" s="2" t="s">
        <v>72</v>
      </c>
      <c r="I5" s="2" t="s">
        <v>72</v>
      </c>
      <c r="J5" s="2" t="s">
        <v>72</v>
      </c>
      <c r="K5" s="2"/>
      <c r="L5" s="2"/>
    </row>
    <row r="6" customFormat="false" ht="15" hidden="false" customHeight="false" outlineLevel="0" collapsed="false">
      <c r="A6" s="2" t="s">
        <v>310</v>
      </c>
      <c r="B6" s="2" t="s">
        <v>311</v>
      </c>
      <c r="C6" s="2" t="s">
        <v>312</v>
      </c>
      <c r="D6" s="2" t="s">
        <v>313</v>
      </c>
      <c r="E6" s="2" t="s">
        <v>72</v>
      </c>
      <c r="F6" s="2" t="s">
        <v>72</v>
      </c>
      <c r="G6" s="2" t="s">
        <v>72</v>
      </c>
      <c r="H6" s="2" t="s">
        <v>72</v>
      </c>
      <c r="I6" s="2" t="s">
        <v>72</v>
      </c>
      <c r="J6" s="2" t="s">
        <v>72</v>
      </c>
      <c r="K6" s="2"/>
      <c r="L6" s="2"/>
    </row>
    <row r="7" customFormat="false" ht="15" hidden="false" customHeight="false" outlineLevel="0" collapsed="false">
      <c r="A7" s="2" t="s">
        <v>314</v>
      </c>
      <c r="B7" s="2" t="s">
        <v>209</v>
      </c>
      <c r="C7" s="2" t="s">
        <v>315</v>
      </c>
      <c r="D7" s="2" t="s">
        <v>316</v>
      </c>
      <c r="E7" s="2" t="s">
        <v>72</v>
      </c>
      <c r="F7" s="2" t="s">
        <v>72</v>
      </c>
      <c r="G7" s="2" t="s">
        <v>72</v>
      </c>
      <c r="H7" s="2" t="s">
        <v>72</v>
      </c>
      <c r="I7" s="2" t="s">
        <v>72</v>
      </c>
      <c r="J7" s="2" t="s">
        <v>75</v>
      </c>
      <c r="K7" s="2"/>
      <c r="L7" s="2" t="s">
        <v>317</v>
      </c>
    </row>
  </sheetData>
  <autoFilter ref="A1:L7"/>
  <conditionalFormatting sqref="E2:E7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"Not Run"</formula>
    </cfRule>
  </conditionalFormatting>
  <conditionalFormatting sqref="F2:F7">
    <cfRule type="cellIs" priority="6" operator="equal" aboveAverage="0" equalAverage="0" bottom="0" percent="0" rank="0" text="" dxfId="6">
      <formula>"Pass"</formula>
    </cfRule>
    <cfRule type="cellIs" priority="7" operator="equal" aboveAverage="0" equalAverage="0" bottom="0" percent="0" rank="0" text="" dxfId="7">
      <formula>"Fail"</formula>
    </cfRule>
    <cfRule type="cellIs" priority="8" operator="equal" aboveAverage="0" equalAverage="0" bottom="0" percent="0" rank="0" text="" dxfId="8">
      <formula>"Blocked"</formula>
    </cfRule>
    <cfRule type="cellIs" priority="9" operator="equal" aboveAverage="0" equalAverage="0" bottom="0" percent="0" rank="0" text="" dxfId="9">
      <formula>"Not Run"</formula>
    </cfRule>
  </conditionalFormatting>
  <conditionalFormatting sqref="G2:G7">
    <cfRule type="cellIs" priority="10" operator="equal" aboveAverage="0" equalAverage="0" bottom="0" percent="0" rank="0" text="" dxfId="6">
      <formula>"Pass"</formula>
    </cfRule>
    <cfRule type="cellIs" priority="11" operator="equal" aboveAverage="0" equalAverage="0" bottom="0" percent="0" rank="0" text="" dxfId="7">
      <formula>"Fail"</formula>
    </cfRule>
    <cfRule type="cellIs" priority="12" operator="equal" aboveAverage="0" equalAverage="0" bottom="0" percent="0" rank="0" text="" dxfId="8">
      <formula>"Blocked"</formula>
    </cfRule>
    <cfRule type="cellIs" priority="13" operator="equal" aboveAverage="0" equalAverage="0" bottom="0" percent="0" rank="0" text="" dxfId="9">
      <formula>"Not Run"</formula>
    </cfRule>
  </conditionalFormatting>
  <conditionalFormatting sqref="H2:H7">
    <cfRule type="cellIs" priority="14" operator="equal" aboveAverage="0" equalAverage="0" bottom="0" percent="0" rank="0" text="" dxfId="6">
      <formula>"Pass"</formula>
    </cfRule>
    <cfRule type="cellIs" priority="15" operator="equal" aboveAverage="0" equalAverage="0" bottom="0" percent="0" rank="0" text="" dxfId="7">
      <formula>"Fail"</formula>
    </cfRule>
    <cfRule type="cellIs" priority="16" operator="equal" aboveAverage="0" equalAverage="0" bottom="0" percent="0" rank="0" text="" dxfId="8">
      <formula>"Blocked"</formula>
    </cfRule>
    <cfRule type="cellIs" priority="17" operator="equal" aboveAverage="0" equalAverage="0" bottom="0" percent="0" rank="0" text="" dxfId="9">
      <formula>"Not Run"</formula>
    </cfRule>
  </conditionalFormatting>
  <conditionalFormatting sqref="I2:I7">
    <cfRule type="cellIs" priority="18" operator="equal" aboveAverage="0" equalAverage="0" bottom="0" percent="0" rank="0" text="" dxfId="6">
      <formula>"Pass"</formula>
    </cfRule>
    <cfRule type="cellIs" priority="19" operator="equal" aboveAverage="0" equalAverage="0" bottom="0" percent="0" rank="0" text="" dxfId="7">
      <formula>"Fail"</formula>
    </cfRule>
    <cfRule type="cellIs" priority="20" operator="equal" aboveAverage="0" equalAverage="0" bottom="0" percent="0" rank="0" text="" dxfId="8">
      <formula>"Blocked"</formula>
    </cfRule>
    <cfRule type="cellIs" priority="21" operator="equal" aboveAverage="0" equalAverage="0" bottom="0" percent="0" rank="0" text="" dxfId="9">
      <formula>"Not Run"</formula>
    </cfRule>
  </conditionalFormatting>
  <conditionalFormatting sqref="J2:J7">
    <cfRule type="cellIs" priority="22" operator="equal" aboveAverage="0" equalAverage="0" bottom="0" percent="0" rank="0" text="" dxfId="6">
      <formula>"Pass"</formula>
    </cfRule>
    <cfRule type="cellIs" priority="23" operator="equal" aboveAverage="0" equalAverage="0" bottom="0" percent="0" rank="0" text="" dxfId="7">
      <formula>"Fail"</formula>
    </cfRule>
    <cfRule type="cellIs" priority="24" operator="equal" aboveAverage="0" equalAverage="0" bottom="0" percent="0" rank="0" text="" dxfId="8">
      <formula>"Blocked"</formula>
    </cfRule>
    <cfRule type="cellIs" priority="25" operator="equal" aboveAverage="0" equalAverage="0" bottom="0" percent="0" rank="0" text="" dxfId="9">
      <formula>"Not Run"</formula>
    </cfRule>
  </conditionalFormatting>
  <dataValidations count="1">
    <dataValidation allowBlank="true" errorStyle="stop" operator="between" showDropDown="false" showErrorMessage="false" showInputMessage="false" sqref="E2:J7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8" min="6" style="0" width="34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23.85" hidden="false" customHeight="false" outlineLevel="0" collapsed="false">
      <c r="A1" s="1" t="s">
        <v>283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105</v>
      </c>
      <c r="H1" s="1" t="s">
        <v>106</v>
      </c>
      <c r="I1" s="1" t="s">
        <v>107</v>
      </c>
      <c r="J1" s="1" t="s">
        <v>108</v>
      </c>
    </row>
    <row r="2" customFormat="false" ht="15" hidden="false" customHeight="false" outlineLevel="0" collapsed="false">
      <c r="A2" s="2" t="s">
        <v>323</v>
      </c>
      <c r="B2" s="2" t="s">
        <v>324</v>
      </c>
      <c r="C2" s="2" t="s">
        <v>325</v>
      </c>
      <c r="D2" s="2" t="s">
        <v>326</v>
      </c>
      <c r="E2" s="2" t="s">
        <v>297</v>
      </c>
      <c r="F2" s="2" t="s">
        <v>327</v>
      </c>
      <c r="G2" s="2" t="s">
        <v>328</v>
      </c>
      <c r="H2" s="2" t="s">
        <v>119</v>
      </c>
      <c r="I2" s="2" t="s">
        <v>72</v>
      </c>
      <c r="J2" s="2"/>
    </row>
    <row r="3" customFormat="false" ht="15" hidden="false" customHeight="false" outlineLevel="0" collapsed="false">
      <c r="A3" s="2" t="s">
        <v>329</v>
      </c>
      <c r="B3" s="2" t="s">
        <v>330</v>
      </c>
      <c r="C3" s="2" t="s">
        <v>331</v>
      </c>
      <c r="D3" s="2" t="s">
        <v>326</v>
      </c>
      <c r="E3" s="2" t="s">
        <v>157</v>
      </c>
      <c r="F3" s="2" t="s">
        <v>332</v>
      </c>
      <c r="G3" s="2" t="s">
        <v>333</v>
      </c>
      <c r="H3" s="2" t="s">
        <v>119</v>
      </c>
      <c r="I3" s="2" t="s">
        <v>72</v>
      </c>
      <c r="J3" s="2"/>
    </row>
    <row r="4" customFormat="false" ht="23.85" hidden="false" customHeight="false" outlineLevel="0" collapsed="false">
      <c r="A4" s="2" t="s">
        <v>334</v>
      </c>
      <c r="B4" s="2" t="s">
        <v>335</v>
      </c>
      <c r="C4" s="2" t="s">
        <v>336</v>
      </c>
      <c r="D4" s="2" t="s">
        <v>337</v>
      </c>
      <c r="E4" s="2" t="s">
        <v>297</v>
      </c>
      <c r="F4" s="2" t="s">
        <v>338</v>
      </c>
      <c r="G4" s="2" t="s">
        <v>339</v>
      </c>
      <c r="H4" s="2" t="s">
        <v>340</v>
      </c>
      <c r="I4" s="2" t="s">
        <v>73</v>
      </c>
      <c r="J4" s="2" t="s">
        <v>341</v>
      </c>
    </row>
    <row r="5" customFormat="false" ht="23.85" hidden="false" customHeight="false" outlineLevel="0" collapsed="false">
      <c r="A5" s="2" t="s">
        <v>342</v>
      </c>
      <c r="B5" s="2" t="s">
        <v>343</v>
      </c>
      <c r="C5" s="2" t="s">
        <v>344</v>
      </c>
      <c r="D5" s="2" t="s">
        <v>337</v>
      </c>
      <c r="E5" s="2" t="s">
        <v>157</v>
      </c>
      <c r="F5" s="2" t="s">
        <v>345</v>
      </c>
      <c r="G5" s="2" t="s">
        <v>346</v>
      </c>
      <c r="H5" s="2" t="s">
        <v>119</v>
      </c>
      <c r="I5" s="2" t="s">
        <v>72</v>
      </c>
      <c r="J5" s="2"/>
    </row>
    <row r="6" customFormat="false" ht="15" hidden="false" customHeight="false" outlineLevel="0" collapsed="false">
      <c r="A6" s="2" t="s">
        <v>347</v>
      </c>
      <c r="B6" s="2" t="s">
        <v>348</v>
      </c>
      <c r="C6" s="2" t="s">
        <v>349</v>
      </c>
      <c r="D6" s="2" t="s">
        <v>337</v>
      </c>
      <c r="E6" s="2" t="s">
        <v>216</v>
      </c>
      <c r="F6" s="2" t="s">
        <v>350</v>
      </c>
      <c r="G6" s="2" t="s">
        <v>351</v>
      </c>
      <c r="H6" s="2" t="s">
        <v>119</v>
      </c>
      <c r="I6" s="2" t="s">
        <v>72</v>
      </c>
      <c r="J6" s="2"/>
    </row>
    <row r="7" customFormat="false" ht="15" hidden="false" customHeight="false" outlineLevel="0" collapsed="false">
      <c r="A7" s="2" t="s">
        <v>352</v>
      </c>
      <c r="B7" s="2" t="s">
        <v>348</v>
      </c>
      <c r="C7" s="2" t="s">
        <v>353</v>
      </c>
      <c r="D7" s="2" t="s">
        <v>326</v>
      </c>
      <c r="E7" s="2" t="s">
        <v>297</v>
      </c>
      <c r="F7" s="2" t="s">
        <v>354</v>
      </c>
      <c r="G7" s="2" t="s">
        <v>355</v>
      </c>
      <c r="H7" s="2" t="s">
        <v>119</v>
      </c>
      <c r="I7" s="2" t="s">
        <v>72</v>
      </c>
      <c r="J7" s="2"/>
    </row>
    <row r="8" customFormat="false" ht="15" hidden="false" customHeight="false" outlineLevel="0" collapsed="false">
      <c r="A8" s="2" t="s">
        <v>356</v>
      </c>
      <c r="B8" s="2" t="s">
        <v>357</v>
      </c>
      <c r="C8" s="2" t="s">
        <v>358</v>
      </c>
      <c r="D8" s="2" t="s">
        <v>337</v>
      </c>
      <c r="E8" s="2" t="s">
        <v>359</v>
      </c>
      <c r="F8" s="2" t="s">
        <v>360</v>
      </c>
      <c r="G8" s="2" t="s">
        <v>361</v>
      </c>
      <c r="H8" s="2" t="s">
        <v>119</v>
      </c>
      <c r="I8" s="2" t="s">
        <v>72</v>
      </c>
      <c r="J8" s="2"/>
    </row>
    <row r="9" customFormat="false" ht="15" hidden="false" customHeight="false" outlineLevel="0" collapsed="false">
      <c r="A9" s="2" t="s">
        <v>362</v>
      </c>
      <c r="B9" s="2" t="s">
        <v>363</v>
      </c>
      <c r="C9" s="2" t="s">
        <v>364</v>
      </c>
      <c r="D9" s="2" t="s">
        <v>337</v>
      </c>
      <c r="E9" s="2" t="s">
        <v>365</v>
      </c>
      <c r="F9" s="2" t="s">
        <v>366</v>
      </c>
      <c r="G9" s="2" t="s">
        <v>367</v>
      </c>
      <c r="H9" s="2" t="s">
        <v>119</v>
      </c>
      <c r="I9" s="2" t="s">
        <v>72</v>
      </c>
      <c r="J9" s="2"/>
    </row>
    <row r="10" customFormat="false" ht="15" hidden="false" customHeight="false" outlineLevel="0" collapsed="false">
      <c r="A10" s="2" t="s">
        <v>368</v>
      </c>
      <c r="B10" s="2" t="s">
        <v>335</v>
      </c>
      <c r="C10" s="2" t="s">
        <v>369</v>
      </c>
      <c r="D10" s="2" t="s">
        <v>326</v>
      </c>
      <c r="E10" s="2" t="s">
        <v>112</v>
      </c>
      <c r="F10" s="2" t="s">
        <v>370</v>
      </c>
      <c r="G10" s="2" t="s">
        <v>371</v>
      </c>
      <c r="H10" s="2"/>
      <c r="I10" s="2" t="s">
        <v>75</v>
      </c>
      <c r="J10" s="2"/>
    </row>
  </sheetData>
  <autoFilter ref="A1:J10"/>
  <conditionalFormatting sqref="I2:I10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"Not Run"</formula>
    </cfRule>
  </conditionalFormatting>
  <dataValidations count="1">
    <dataValidation allowBlank="true" errorStyle="stop" operator="between" showDropDown="false" showErrorMessage="false" showInputMessage="false" sqref="I2:I10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R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40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8" min="7" style="0" width="10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26"/>
    <col collapsed="false" customWidth="true" hidden="false" outlineLevel="0" max="12" min="12" style="0" width="22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20"/>
    <col collapsed="false" customWidth="true" hidden="false" outlineLevel="0" max="17" min="17" style="0" width="36"/>
    <col collapsed="false" customWidth="true" hidden="false" outlineLevel="0" max="18" min="18" style="0" width="15"/>
  </cols>
  <sheetData>
    <row r="1" customFormat="false" ht="23.85" hidden="false" customHeight="false" outlineLevel="0" collapsed="false">
      <c r="A1" s="1" t="s">
        <v>372</v>
      </c>
      <c r="B1" s="1" t="s">
        <v>373</v>
      </c>
      <c r="C1" s="1" t="s">
        <v>374</v>
      </c>
      <c r="D1" s="1" t="s">
        <v>375</v>
      </c>
      <c r="E1" s="1" t="s">
        <v>105</v>
      </c>
      <c r="F1" s="1" t="s">
        <v>106</v>
      </c>
      <c r="G1" s="1" t="s">
        <v>376</v>
      </c>
      <c r="H1" s="1" t="s">
        <v>101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107</v>
      </c>
      <c r="N1" s="1" t="s">
        <v>381</v>
      </c>
      <c r="O1" s="1" t="s">
        <v>382</v>
      </c>
      <c r="P1" s="1" t="s">
        <v>383</v>
      </c>
      <c r="Q1" s="1" t="s">
        <v>384</v>
      </c>
      <c r="R1" s="1" t="s">
        <v>385</v>
      </c>
    </row>
    <row r="2" customFormat="false" ht="46.25" hidden="false" customHeight="false" outlineLevel="0" collapsed="false">
      <c r="A2" s="2" t="s">
        <v>187</v>
      </c>
      <c r="B2" s="2" t="s">
        <v>386</v>
      </c>
      <c r="C2" s="2" t="s">
        <v>387</v>
      </c>
      <c r="D2" s="2" t="s">
        <v>388</v>
      </c>
      <c r="E2" s="2" t="s">
        <v>389</v>
      </c>
      <c r="F2" s="2" t="s">
        <v>390</v>
      </c>
      <c r="G2" s="2" t="s">
        <v>87</v>
      </c>
      <c r="H2" s="2" t="s">
        <v>391</v>
      </c>
      <c r="I2" s="2" t="s">
        <v>392</v>
      </c>
      <c r="J2" s="2" t="s">
        <v>157</v>
      </c>
      <c r="K2" s="2" t="s">
        <v>393</v>
      </c>
      <c r="L2" s="2" t="s">
        <v>394</v>
      </c>
      <c r="M2" s="2" t="s">
        <v>92</v>
      </c>
      <c r="N2" s="2" t="s">
        <v>120</v>
      </c>
      <c r="O2" s="2" t="s">
        <v>121</v>
      </c>
      <c r="P2" s="2" t="s">
        <v>395</v>
      </c>
      <c r="Q2" s="2" t="s">
        <v>396</v>
      </c>
      <c r="R2" s="2" t="s">
        <v>397</v>
      </c>
    </row>
    <row r="3" customFormat="false" ht="35.05" hidden="false" customHeight="false" outlineLevel="0" collapsed="false">
      <c r="A3" s="2" t="s">
        <v>135</v>
      </c>
      <c r="B3" s="2" t="s">
        <v>398</v>
      </c>
      <c r="C3" s="2" t="s">
        <v>399</v>
      </c>
      <c r="D3" s="2" t="s">
        <v>400</v>
      </c>
      <c r="E3" s="2" t="s">
        <v>401</v>
      </c>
      <c r="F3" s="2" t="s">
        <v>402</v>
      </c>
      <c r="G3" s="2" t="s">
        <v>88</v>
      </c>
      <c r="H3" s="2" t="s">
        <v>114</v>
      </c>
      <c r="I3" s="2" t="s">
        <v>231</v>
      </c>
      <c r="J3" s="2" t="s">
        <v>403</v>
      </c>
      <c r="K3" s="2" t="s">
        <v>393</v>
      </c>
      <c r="L3" s="2" t="s">
        <v>404</v>
      </c>
      <c r="M3" s="2" t="s">
        <v>93</v>
      </c>
      <c r="N3" s="2" t="s">
        <v>120</v>
      </c>
      <c r="O3" s="2" t="s">
        <v>121</v>
      </c>
      <c r="P3" s="2" t="s">
        <v>128</v>
      </c>
      <c r="Q3" s="2" t="s">
        <v>405</v>
      </c>
      <c r="R3" s="2" t="s">
        <v>406</v>
      </c>
    </row>
    <row r="4" customFormat="false" ht="23.85" hidden="false" customHeight="false" outlineLevel="0" collapsed="false">
      <c r="A4" s="2" t="s">
        <v>195</v>
      </c>
      <c r="B4" s="2" t="s">
        <v>407</v>
      </c>
      <c r="C4" s="2" t="s">
        <v>408</v>
      </c>
      <c r="D4" s="2" t="s">
        <v>409</v>
      </c>
      <c r="E4" s="2" t="s">
        <v>410</v>
      </c>
      <c r="F4" s="2" t="s">
        <v>411</v>
      </c>
      <c r="G4" s="2" t="s">
        <v>87</v>
      </c>
      <c r="H4" s="2" t="s">
        <v>391</v>
      </c>
      <c r="I4" s="2" t="s">
        <v>412</v>
      </c>
      <c r="J4" s="2" t="s">
        <v>157</v>
      </c>
      <c r="K4" s="2" t="s">
        <v>393</v>
      </c>
      <c r="L4" s="2" t="s">
        <v>413</v>
      </c>
      <c r="M4" s="2" t="s">
        <v>92</v>
      </c>
      <c r="N4" s="2" t="s">
        <v>120</v>
      </c>
      <c r="O4" s="2" t="s">
        <v>121</v>
      </c>
      <c r="P4" s="2" t="s">
        <v>414</v>
      </c>
      <c r="Q4" s="2" t="s">
        <v>415</v>
      </c>
      <c r="R4" s="2" t="s">
        <v>397</v>
      </c>
    </row>
    <row r="5" customFormat="false" ht="35.05" hidden="false" customHeight="false" outlineLevel="0" collapsed="false">
      <c r="A5" s="2" t="s">
        <v>229</v>
      </c>
      <c r="B5" s="2" t="s">
        <v>416</v>
      </c>
      <c r="C5" s="2" t="s">
        <v>417</v>
      </c>
      <c r="D5" s="2" t="s">
        <v>418</v>
      </c>
      <c r="E5" s="2" t="s">
        <v>419</v>
      </c>
      <c r="F5" s="2" t="s">
        <v>420</v>
      </c>
      <c r="G5" s="2" t="s">
        <v>88</v>
      </c>
      <c r="H5" s="2" t="s">
        <v>114</v>
      </c>
      <c r="I5" s="2" t="s">
        <v>421</v>
      </c>
      <c r="J5" s="2" t="s">
        <v>275</v>
      </c>
      <c r="K5" s="2" t="s">
        <v>393</v>
      </c>
      <c r="L5" s="2" t="s">
        <v>422</v>
      </c>
      <c r="M5" s="2" t="s">
        <v>94</v>
      </c>
      <c r="N5" s="2" t="s">
        <v>120</v>
      </c>
      <c r="O5" s="2" t="s">
        <v>121</v>
      </c>
      <c r="P5" s="2" t="s">
        <v>423</v>
      </c>
      <c r="Q5" s="2" t="s">
        <v>424</v>
      </c>
      <c r="R5" s="2" t="s">
        <v>425</v>
      </c>
    </row>
    <row r="6" customFormat="false" ht="23.85" hidden="false" customHeight="false" outlineLevel="0" collapsed="false">
      <c r="A6" s="2" t="s">
        <v>304</v>
      </c>
      <c r="B6" s="2" t="s">
        <v>426</v>
      </c>
      <c r="C6" s="2" t="s">
        <v>427</v>
      </c>
      <c r="D6" s="2" t="s">
        <v>428</v>
      </c>
      <c r="E6" s="2" t="s">
        <v>429</v>
      </c>
      <c r="F6" s="2" t="s">
        <v>430</v>
      </c>
      <c r="G6" s="2" t="s">
        <v>88</v>
      </c>
      <c r="H6" s="2" t="s">
        <v>114</v>
      </c>
      <c r="I6" s="2" t="s">
        <v>431</v>
      </c>
      <c r="J6" s="2" t="s">
        <v>157</v>
      </c>
      <c r="K6" s="2" t="s">
        <v>432</v>
      </c>
      <c r="L6" s="2" t="s">
        <v>433</v>
      </c>
      <c r="M6" s="2" t="s">
        <v>92</v>
      </c>
      <c r="N6" s="2" t="s">
        <v>120</v>
      </c>
      <c r="O6" s="2" t="s">
        <v>121</v>
      </c>
      <c r="P6" s="2" t="s">
        <v>300</v>
      </c>
      <c r="Q6" s="2" t="s">
        <v>434</v>
      </c>
      <c r="R6" s="2" t="s">
        <v>435</v>
      </c>
    </row>
    <row r="7" customFormat="false" ht="35.05" hidden="false" customHeight="false" outlineLevel="0" collapsed="false">
      <c r="A7" s="2" t="s">
        <v>258</v>
      </c>
      <c r="B7" s="2" t="s">
        <v>436</v>
      </c>
      <c r="C7" s="2" t="s">
        <v>437</v>
      </c>
      <c r="D7" s="2" t="s">
        <v>438</v>
      </c>
      <c r="E7" s="2" t="s">
        <v>439</v>
      </c>
      <c r="F7" s="2" t="s">
        <v>440</v>
      </c>
      <c r="G7" s="2" t="s">
        <v>89</v>
      </c>
      <c r="H7" s="2" t="s">
        <v>152</v>
      </c>
      <c r="I7" s="2" t="s">
        <v>441</v>
      </c>
      <c r="J7" s="2" t="s">
        <v>157</v>
      </c>
      <c r="K7" s="2" t="s">
        <v>393</v>
      </c>
      <c r="L7" s="2" t="s">
        <v>442</v>
      </c>
      <c r="M7" s="2" t="s">
        <v>92</v>
      </c>
      <c r="N7" s="2" t="s">
        <v>120</v>
      </c>
      <c r="O7" s="2" t="s">
        <v>121</v>
      </c>
      <c r="P7" s="2" t="s">
        <v>254</v>
      </c>
      <c r="Q7" s="2" t="s">
        <v>443</v>
      </c>
      <c r="R7" s="2" t="s">
        <v>435</v>
      </c>
    </row>
    <row r="8" customFormat="false" ht="23.85" hidden="false" customHeight="false" outlineLevel="0" collapsed="false">
      <c r="A8" s="2" t="s">
        <v>341</v>
      </c>
      <c r="B8" s="2" t="s">
        <v>444</v>
      </c>
      <c r="C8" s="2" t="s">
        <v>445</v>
      </c>
      <c r="D8" s="2" t="s">
        <v>446</v>
      </c>
      <c r="E8" s="2" t="s">
        <v>447</v>
      </c>
      <c r="F8" s="2" t="s">
        <v>448</v>
      </c>
      <c r="G8" s="2" t="s">
        <v>89</v>
      </c>
      <c r="H8" s="2" t="s">
        <v>449</v>
      </c>
      <c r="I8" s="2" t="s">
        <v>450</v>
      </c>
      <c r="J8" s="2" t="s">
        <v>297</v>
      </c>
      <c r="K8" s="2" t="s">
        <v>451</v>
      </c>
      <c r="L8" s="2" t="s">
        <v>452</v>
      </c>
      <c r="M8" s="2" t="s">
        <v>92</v>
      </c>
      <c r="N8" s="2" t="s">
        <v>120</v>
      </c>
      <c r="O8" s="2" t="s">
        <v>121</v>
      </c>
      <c r="P8" s="2" t="s">
        <v>334</v>
      </c>
      <c r="Q8" s="2" t="s">
        <v>453</v>
      </c>
      <c r="R8" s="2" t="s">
        <v>435</v>
      </c>
    </row>
    <row r="9" customFormat="false" ht="35.05" hidden="false" customHeight="false" outlineLevel="0" collapsed="false">
      <c r="A9" s="2" t="s">
        <v>454</v>
      </c>
      <c r="B9" s="2" t="s">
        <v>455</v>
      </c>
      <c r="C9" s="2" t="s">
        <v>456</v>
      </c>
      <c r="D9" s="2" t="s">
        <v>457</v>
      </c>
      <c r="E9" s="2" t="s">
        <v>458</v>
      </c>
      <c r="F9" s="2" t="s">
        <v>459</v>
      </c>
      <c r="G9" s="2" t="s">
        <v>87</v>
      </c>
      <c r="H9" s="2" t="s">
        <v>391</v>
      </c>
      <c r="I9" s="2" t="s">
        <v>231</v>
      </c>
      <c r="J9" s="2" t="s">
        <v>460</v>
      </c>
      <c r="K9" s="2" t="s">
        <v>461</v>
      </c>
      <c r="L9" s="2" t="s">
        <v>462</v>
      </c>
      <c r="M9" s="2" t="s">
        <v>92</v>
      </c>
      <c r="N9" s="2" t="s">
        <v>120</v>
      </c>
      <c r="O9" s="2" t="s">
        <v>121</v>
      </c>
      <c r="P9" s="2" t="s">
        <v>463</v>
      </c>
      <c r="Q9" s="2" t="s">
        <v>464</v>
      </c>
      <c r="R9" s="2" t="s">
        <v>465</v>
      </c>
    </row>
    <row r="10" customFormat="false" ht="46.25" hidden="false" customHeight="false" outlineLevel="0" collapsed="false">
      <c r="A10" s="2" t="s">
        <v>269</v>
      </c>
      <c r="B10" s="2" t="s">
        <v>466</v>
      </c>
      <c r="C10" s="2" t="s">
        <v>467</v>
      </c>
      <c r="D10" s="2" t="s">
        <v>468</v>
      </c>
      <c r="E10" s="2" t="s">
        <v>469</v>
      </c>
      <c r="F10" s="2" t="s">
        <v>470</v>
      </c>
      <c r="G10" s="2" t="s">
        <v>87</v>
      </c>
      <c r="H10" s="2" t="s">
        <v>391</v>
      </c>
      <c r="I10" s="2" t="s">
        <v>412</v>
      </c>
      <c r="J10" s="2" t="s">
        <v>471</v>
      </c>
      <c r="K10" s="2" t="s">
        <v>472</v>
      </c>
      <c r="L10" s="2" t="s">
        <v>473</v>
      </c>
      <c r="M10" s="2" t="s">
        <v>93</v>
      </c>
      <c r="N10" s="2" t="s">
        <v>120</v>
      </c>
      <c r="O10" s="2" t="s">
        <v>121</v>
      </c>
      <c r="P10" s="2" t="s">
        <v>474</v>
      </c>
      <c r="Q10" s="2" t="s">
        <v>475</v>
      </c>
      <c r="R10" s="2" t="s">
        <v>476</v>
      </c>
    </row>
  </sheetData>
  <autoFilter ref="A1:R10"/>
  <dataValidations count="3">
    <dataValidation allowBlank="false" errorStyle="stop" operator="between" showDropDown="false" showErrorMessage="false" showInputMessage="false" sqref="G2:G60" type="list">
      <formula1>"Critical,Major,Minor,Trivial"</formula1>
      <formula2>0</formula2>
    </dataValidation>
    <dataValidation allowBlank="false" errorStyle="stop" operator="between" showDropDown="false" showErrorMessage="false" showInputMessage="false" sqref="H2:H60" type="list">
      <formula1>"Highest,High,Medium,Low"</formula1>
      <formula2>0</formula2>
    </dataValidation>
    <dataValidation allowBlank="false" errorStyle="stop" operator="between" showDropDown="false" showErrorMessage="false" showInputMessage="false" sqref="M2:M60" type="list">
      <formula1>"Open,In Progress,Ready for Retest,Reopened,Closed"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2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6" t="s">
        <v>477</v>
      </c>
    </row>
    <row r="2" customFormat="false" ht="15" hidden="false" customHeight="false" outlineLevel="0" collapsed="false">
      <c r="A2" s="7" t="s">
        <v>478</v>
      </c>
    </row>
    <row r="4" customFormat="false" ht="15" hidden="false" customHeight="false" outlineLevel="0" collapsed="false">
      <c r="A4" s="3" t="s">
        <v>479</v>
      </c>
      <c r="B4" s="4"/>
      <c r="C4" s="4"/>
    </row>
    <row r="5" customFormat="false" ht="15" hidden="false" customHeight="false" outlineLevel="0" collapsed="false">
      <c r="A5" s="2" t="s">
        <v>87</v>
      </c>
      <c r="B5" s="2" t="s">
        <v>480</v>
      </c>
      <c r="C5" s="2" t="s">
        <v>481</v>
      </c>
    </row>
    <row r="6" customFormat="false" ht="15" hidden="false" customHeight="false" outlineLevel="0" collapsed="false">
      <c r="A6" s="2" t="s">
        <v>88</v>
      </c>
      <c r="B6" s="2" t="s">
        <v>482</v>
      </c>
      <c r="C6" s="2" t="s">
        <v>483</v>
      </c>
    </row>
    <row r="7" customFormat="false" ht="15" hidden="false" customHeight="false" outlineLevel="0" collapsed="false">
      <c r="A7" s="2" t="s">
        <v>89</v>
      </c>
      <c r="B7" s="2" t="s">
        <v>484</v>
      </c>
      <c r="C7" s="2" t="s">
        <v>485</v>
      </c>
    </row>
    <row r="8" customFormat="false" ht="15" hidden="false" customHeight="false" outlineLevel="0" collapsed="false">
      <c r="A8" s="2" t="s">
        <v>90</v>
      </c>
      <c r="B8" s="2" t="s">
        <v>486</v>
      </c>
      <c r="C8" s="2" t="s">
        <v>487</v>
      </c>
    </row>
    <row r="9" customFormat="false" ht="15" hidden="false" customHeight="false" outlineLevel="0" collapsed="false">
      <c r="A9" s="3" t="s">
        <v>488</v>
      </c>
      <c r="B9" s="4"/>
      <c r="C9" s="4"/>
    </row>
    <row r="10" customFormat="false" ht="15" hidden="false" customHeight="false" outlineLevel="0" collapsed="false">
      <c r="A10" s="2" t="s">
        <v>391</v>
      </c>
      <c r="B10" s="2" t="s">
        <v>489</v>
      </c>
      <c r="C10" s="2" t="s">
        <v>490</v>
      </c>
    </row>
    <row r="11" customFormat="false" ht="15" hidden="false" customHeight="false" outlineLevel="0" collapsed="false">
      <c r="A11" s="2" t="s">
        <v>114</v>
      </c>
      <c r="B11" s="2" t="s">
        <v>491</v>
      </c>
      <c r="C11" s="2" t="s">
        <v>492</v>
      </c>
    </row>
    <row r="12" customFormat="false" ht="15" hidden="false" customHeight="false" outlineLevel="0" collapsed="false">
      <c r="A12" s="2" t="s">
        <v>152</v>
      </c>
      <c r="B12" s="2" t="s">
        <v>493</v>
      </c>
      <c r="C12" s="2" t="s">
        <v>494</v>
      </c>
    </row>
    <row r="13" customFormat="false" ht="15" hidden="false" customHeight="false" outlineLevel="0" collapsed="false">
      <c r="A13" s="2" t="s">
        <v>449</v>
      </c>
      <c r="B13" s="2" t="s">
        <v>495</v>
      </c>
      <c r="C13" s="2" t="s">
        <v>496</v>
      </c>
    </row>
    <row r="14" customFormat="false" ht="15" hidden="false" customHeight="false" outlineLevel="0" collapsed="false">
      <c r="A14" s="3" t="s">
        <v>497</v>
      </c>
      <c r="B14" s="4"/>
      <c r="C14" s="4"/>
    </row>
    <row r="15" customFormat="false" ht="15" hidden="false" customHeight="false" outlineLevel="0" collapsed="false">
      <c r="A15" s="2" t="s">
        <v>498</v>
      </c>
      <c r="B15" s="2" t="s">
        <v>499</v>
      </c>
      <c r="C15" s="2" t="s">
        <v>500</v>
      </c>
    </row>
    <row r="16" customFormat="false" ht="15" hidden="false" customHeight="false" outlineLevel="0" collapsed="false">
      <c r="A16" s="2" t="s">
        <v>501</v>
      </c>
      <c r="B16" s="2" t="s">
        <v>502</v>
      </c>
      <c r="C16" s="2" t="s">
        <v>503</v>
      </c>
    </row>
    <row r="17" customFormat="false" ht="15" hidden="false" customHeight="false" outlineLevel="0" collapsed="false">
      <c r="A17" s="2" t="s">
        <v>231</v>
      </c>
      <c r="B17" s="2" t="s">
        <v>504</v>
      </c>
      <c r="C17" s="2" t="s">
        <v>505</v>
      </c>
    </row>
    <row r="18" customFormat="false" ht="15" hidden="false" customHeight="false" outlineLevel="0" collapsed="false">
      <c r="A18" s="2" t="s">
        <v>506</v>
      </c>
      <c r="B18" s="2" t="s">
        <v>507</v>
      </c>
      <c r="C18" s="2" t="s">
        <v>508</v>
      </c>
    </row>
    <row r="19" customFormat="false" ht="15" hidden="false" customHeight="false" outlineLevel="0" collapsed="false">
      <c r="A19" s="3" t="s">
        <v>509</v>
      </c>
      <c r="B19" s="4"/>
      <c r="C19" s="4"/>
    </row>
    <row r="20" customFormat="false" ht="15" hidden="false" customHeight="false" outlineLevel="0" collapsed="false">
      <c r="A20" s="2" t="s">
        <v>373</v>
      </c>
      <c r="B20" s="2" t="s">
        <v>510</v>
      </c>
      <c r="C20" s="2"/>
    </row>
    <row r="21" customFormat="false" ht="15" hidden="false" customHeight="false" outlineLevel="0" collapsed="false">
      <c r="A21" s="2" t="s">
        <v>511</v>
      </c>
      <c r="B21" s="2" t="s">
        <v>512</v>
      </c>
      <c r="C21" s="2"/>
    </row>
    <row r="22" customFormat="false" ht="15" hidden="false" customHeight="false" outlineLevel="0" collapsed="false">
      <c r="A22" s="2" t="s">
        <v>513</v>
      </c>
      <c r="B22" s="2" t="s">
        <v>514</v>
      </c>
      <c r="C22" s="2"/>
    </row>
    <row r="23" customFormat="false" ht="15" hidden="false" customHeight="false" outlineLevel="0" collapsed="false">
      <c r="A23" s="2" t="s">
        <v>515</v>
      </c>
      <c r="B23" s="2" t="s">
        <v>516</v>
      </c>
      <c r="C23" s="2"/>
    </row>
    <row r="24" customFormat="false" ht="15" hidden="false" customHeight="false" outlineLevel="0" collapsed="false">
      <c r="A24" s="2" t="s">
        <v>517</v>
      </c>
      <c r="B24" s="2" t="s">
        <v>518</v>
      </c>
      <c r="C24" s="2"/>
    </row>
    <row r="25" customFormat="false" ht="23.85" hidden="false" customHeight="false" outlineLevel="0" collapsed="false">
      <c r="A25" s="2" t="s">
        <v>519</v>
      </c>
      <c r="B25" s="2" t="s">
        <v>520</v>
      </c>
      <c r="C25" s="2"/>
    </row>
    <row r="26" customFormat="false" ht="15" hidden="false" customHeight="false" outlineLevel="0" collapsed="false">
      <c r="A26" s="3" t="s">
        <v>521</v>
      </c>
      <c r="B26" s="4"/>
      <c r="C26" s="4"/>
    </row>
    <row r="27" customFormat="false" ht="23.85" hidden="false" customHeight="false" outlineLevel="0" collapsed="false">
      <c r="A27" s="2" t="s">
        <v>522</v>
      </c>
      <c r="B27" s="2" t="s">
        <v>523</v>
      </c>
      <c r="C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4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1" t="s">
        <v>283</v>
      </c>
      <c r="B1" s="1" t="s">
        <v>524</v>
      </c>
      <c r="C1" s="1" t="s">
        <v>100</v>
      </c>
      <c r="D1" s="1" t="s">
        <v>45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</row>
    <row r="2" customFormat="false" ht="23.85" hidden="false" customHeight="false" outlineLevel="0" collapsed="false">
      <c r="A2" s="2" t="s">
        <v>525</v>
      </c>
      <c r="B2" s="2" t="s">
        <v>526</v>
      </c>
      <c r="C2" s="2" t="s">
        <v>527</v>
      </c>
      <c r="D2" s="2" t="s">
        <v>528</v>
      </c>
      <c r="E2" s="2" t="s">
        <v>161</v>
      </c>
      <c r="F2" s="2" t="s">
        <v>529</v>
      </c>
      <c r="G2" s="2" t="s">
        <v>119</v>
      </c>
      <c r="H2" s="2" t="s">
        <v>72</v>
      </c>
      <c r="I2" s="2"/>
    </row>
    <row r="3" customFormat="false" ht="23.85" hidden="false" customHeight="false" outlineLevel="0" collapsed="false">
      <c r="A3" s="2" t="s">
        <v>530</v>
      </c>
      <c r="B3" s="2" t="s">
        <v>531</v>
      </c>
      <c r="C3" s="2" t="s">
        <v>532</v>
      </c>
      <c r="D3" s="2" t="s">
        <v>533</v>
      </c>
      <c r="E3" s="2" t="s">
        <v>161</v>
      </c>
      <c r="F3" s="2" t="s">
        <v>534</v>
      </c>
      <c r="G3" s="2" t="s">
        <v>535</v>
      </c>
      <c r="H3" s="2" t="s">
        <v>74</v>
      </c>
      <c r="I3" s="2"/>
    </row>
    <row r="4" customFormat="false" ht="15" hidden="false" customHeight="false" outlineLevel="0" collapsed="false">
      <c r="A4" s="2" t="s">
        <v>536</v>
      </c>
      <c r="B4" s="2" t="s">
        <v>537</v>
      </c>
      <c r="C4" s="2" t="s">
        <v>538</v>
      </c>
      <c r="D4" s="2" t="s">
        <v>539</v>
      </c>
      <c r="E4" s="2" t="s">
        <v>540</v>
      </c>
      <c r="F4" s="2" t="s">
        <v>541</v>
      </c>
      <c r="G4" s="2" t="s">
        <v>542</v>
      </c>
      <c r="H4" s="2" t="s">
        <v>72</v>
      </c>
      <c r="I4" s="2"/>
    </row>
    <row r="5" customFormat="false" ht="23.85" hidden="false" customHeight="false" outlineLevel="0" collapsed="false">
      <c r="A5" s="2" t="s">
        <v>543</v>
      </c>
      <c r="B5" s="2" t="s">
        <v>544</v>
      </c>
      <c r="C5" s="2" t="s">
        <v>545</v>
      </c>
      <c r="D5" s="2" t="s">
        <v>546</v>
      </c>
      <c r="E5" s="2" t="s">
        <v>547</v>
      </c>
      <c r="F5" s="2" t="s">
        <v>548</v>
      </c>
      <c r="G5" s="2" t="s">
        <v>549</v>
      </c>
      <c r="H5" s="2" t="s">
        <v>73</v>
      </c>
      <c r="I5" s="2" t="s">
        <v>269</v>
      </c>
    </row>
    <row r="6" customFormat="false" ht="15" hidden="false" customHeight="false" outlineLevel="0" collapsed="false">
      <c r="A6" s="2" t="s">
        <v>550</v>
      </c>
      <c r="B6" s="2" t="s">
        <v>551</v>
      </c>
      <c r="C6" s="2" t="s">
        <v>552</v>
      </c>
      <c r="D6" s="2" t="s">
        <v>553</v>
      </c>
      <c r="E6" s="2" t="s">
        <v>554</v>
      </c>
      <c r="F6" s="2" t="s">
        <v>555</v>
      </c>
      <c r="G6" s="2" t="s">
        <v>119</v>
      </c>
      <c r="H6" s="2" t="s">
        <v>72</v>
      </c>
      <c r="I6" s="2"/>
    </row>
    <row r="7" customFormat="false" ht="23.85" hidden="false" customHeight="false" outlineLevel="0" collapsed="false">
      <c r="A7" s="2" t="s">
        <v>556</v>
      </c>
      <c r="B7" s="2" t="s">
        <v>557</v>
      </c>
      <c r="C7" s="2" t="s">
        <v>558</v>
      </c>
      <c r="D7" s="2" t="s">
        <v>559</v>
      </c>
      <c r="E7" s="2" t="s">
        <v>560</v>
      </c>
      <c r="F7" s="2" t="s">
        <v>561</v>
      </c>
      <c r="G7" s="2" t="s">
        <v>119</v>
      </c>
      <c r="H7" s="2" t="s">
        <v>72</v>
      </c>
      <c r="I7" s="2"/>
    </row>
    <row r="8" customFormat="false" ht="23.85" hidden="false" customHeight="false" outlineLevel="0" collapsed="false">
      <c r="A8" s="2" t="s">
        <v>562</v>
      </c>
      <c r="B8" s="2" t="s">
        <v>563</v>
      </c>
      <c r="C8" s="2" t="s">
        <v>564</v>
      </c>
      <c r="D8" s="2" t="s">
        <v>565</v>
      </c>
      <c r="E8" s="2" t="s">
        <v>566</v>
      </c>
      <c r="F8" s="2" t="s">
        <v>567</v>
      </c>
      <c r="G8" s="2" t="s">
        <v>119</v>
      </c>
      <c r="H8" s="2" t="s">
        <v>72</v>
      </c>
      <c r="I8" s="2"/>
    </row>
    <row r="9" customFormat="false" ht="15" hidden="false" customHeight="false" outlineLevel="0" collapsed="false">
      <c r="A9" s="2" t="s">
        <v>568</v>
      </c>
      <c r="B9" s="2" t="s">
        <v>569</v>
      </c>
      <c r="C9" s="2" t="s">
        <v>570</v>
      </c>
      <c r="D9" s="2" t="s">
        <v>571</v>
      </c>
      <c r="E9" s="2" t="s">
        <v>572</v>
      </c>
      <c r="F9" s="2" t="s">
        <v>573</v>
      </c>
      <c r="G9" s="2" t="s">
        <v>574</v>
      </c>
      <c r="H9" s="2" t="s">
        <v>73</v>
      </c>
      <c r="I9" s="2" t="s">
        <v>229</v>
      </c>
    </row>
  </sheetData>
  <autoFilter ref="A1:I9"/>
  <conditionalFormatting sqref="H2:H9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"Not Run"</formula>
    </cfRule>
  </conditionalFormatting>
  <dataValidations count="1">
    <dataValidation allowBlank="true" errorStyle="stop" operator="between" showDropDown="false" showErrorMessage="false" showInputMessage="false" sqref="H2:H9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44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20"/>
    <col collapsed="false" customWidth="true" hidden="false" outlineLevel="0" max="8" min="8" style="0" width="58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" t="s">
        <v>283</v>
      </c>
      <c r="B1" s="1" t="s">
        <v>575</v>
      </c>
      <c r="C1" s="1" t="s">
        <v>576</v>
      </c>
      <c r="D1" s="1" t="s">
        <v>577</v>
      </c>
      <c r="E1" s="1" t="s">
        <v>578</v>
      </c>
      <c r="F1" s="1" t="s">
        <v>579</v>
      </c>
      <c r="G1" s="1" t="s">
        <v>580</v>
      </c>
      <c r="H1" s="1" t="s">
        <v>581</v>
      </c>
      <c r="I1" s="1" t="s">
        <v>582</v>
      </c>
      <c r="J1" s="1" t="s">
        <v>583</v>
      </c>
      <c r="K1" s="1" t="s">
        <v>108</v>
      </c>
    </row>
    <row r="2" customFormat="false" ht="46.25" hidden="false" customHeight="false" outlineLevel="0" collapsed="false">
      <c r="A2" s="2" t="s">
        <v>584</v>
      </c>
      <c r="B2" s="2" t="s">
        <v>585</v>
      </c>
      <c r="C2" s="2" t="s">
        <v>586</v>
      </c>
      <c r="D2" s="2" t="s">
        <v>587</v>
      </c>
      <c r="E2" s="2" t="s">
        <v>588</v>
      </c>
      <c r="F2" s="2" t="s">
        <v>589</v>
      </c>
      <c r="G2" s="2" t="s">
        <v>590</v>
      </c>
      <c r="H2" s="2" t="s">
        <v>591</v>
      </c>
      <c r="I2" s="2" t="s">
        <v>590</v>
      </c>
      <c r="J2" s="2" t="s">
        <v>72</v>
      </c>
      <c r="K2" s="2"/>
    </row>
    <row r="3" customFormat="false" ht="35.05" hidden="false" customHeight="false" outlineLevel="0" collapsed="false">
      <c r="A3" s="2" t="s">
        <v>592</v>
      </c>
      <c r="B3" s="2" t="s">
        <v>593</v>
      </c>
      <c r="C3" s="2" t="s">
        <v>586</v>
      </c>
      <c r="D3" s="2" t="s">
        <v>587</v>
      </c>
      <c r="E3" s="2" t="s">
        <v>588</v>
      </c>
      <c r="F3" s="2" t="s">
        <v>594</v>
      </c>
      <c r="G3" s="2" t="s">
        <v>595</v>
      </c>
      <c r="H3" s="2" t="s">
        <v>596</v>
      </c>
      <c r="I3" s="2" t="s">
        <v>595</v>
      </c>
      <c r="J3" s="2" t="s">
        <v>72</v>
      </c>
      <c r="K3" s="2"/>
    </row>
    <row r="4" customFormat="false" ht="23.85" hidden="false" customHeight="false" outlineLevel="0" collapsed="false">
      <c r="A4" s="2" t="s">
        <v>597</v>
      </c>
      <c r="B4" s="2" t="s">
        <v>598</v>
      </c>
      <c r="C4" s="2" t="s">
        <v>586</v>
      </c>
      <c r="D4" s="2" t="s">
        <v>599</v>
      </c>
      <c r="E4" s="2" t="s">
        <v>588</v>
      </c>
      <c r="F4" s="2" t="s">
        <v>600</v>
      </c>
      <c r="G4" s="2" t="s">
        <v>590</v>
      </c>
      <c r="H4" s="2" t="s">
        <v>601</v>
      </c>
      <c r="I4" s="2" t="s">
        <v>590</v>
      </c>
      <c r="J4" s="2" t="s">
        <v>72</v>
      </c>
      <c r="K4" s="2"/>
    </row>
    <row r="5" customFormat="false" ht="46.25" hidden="false" customHeight="false" outlineLevel="0" collapsed="false">
      <c r="A5" s="2" t="s">
        <v>602</v>
      </c>
      <c r="B5" s="2" t="s">
        <v>603</v>
      </c>
      <c r="C5" s="2" t="s">
        <v>604</v>
      </c>
      <c r="D5" s="2" t="s">
        <v>605</v>
      </c>
      <c r="E5" s="2" t="s">
        <v>606</v>
      </c>
      <c r="F5" s="2" t="s">
        <v>239</v>
      </c>
      <c r="G5" s="2" t="s">
        <v>590</v>
      </c>
      <c r="H5" s="2" t="s">
        <v>607</v>
      </c>
      <c r="I5" s="2" t="s">
        <v>590</v>
      </c>
      <c r="J5" s="2" t="s">
        <v>72</v>
      </c>
      <c r="K5" s="2"/>
    </row>
    <row r="6" customFormat="false" ht="15" hidden="false" customHeight="false" outlineLevel="0" collapsed="false">
      <c r="A6" s="2" t="s">
        <v>608</v>
      </c>
      <c r="B6" s="2" t="s">
        <v>609</v>
      </c>
      <c r="C6" s="2" t="s">
        <v>604</v>
      </c>
      <c r="D6" s="2" t="s">
        <v>605</v>
      </c>
      <c r="E6" s="2" t="s">
        <v>610</v>
      </c>
      <c r="F6" s="2" t="s">
        <v>239</v>
      </c>
      <c r="G6" s="2" t="s">
        <v>595</v>
      </c>
      <c r="H6" s="2" t="s">
        <v>611</v>
      </c>
      <c r="I6" s="2" t="s">
        <v>595</v>
      </c>
      <c r="J6" s="2" t="s">
        <v>72</v>
      </c>
      <c r="K6" s="2"/>
    </row>
    <row r="7" customFormat="false" ht="35.05" hidden="false" customHeight="false" outlineLevel="0" collapsed="false">
      <c r="A7" s="2" t="s">
        <v>612</v>
      </c>
      <c r="B7" s="2" t="s">
        <v>613</v>
      </c>
      <c r="C7" s="2" t="s">
        <v>586</v>
      </c>
      <c r="D7" s="2" t="s">
        <v>614</v>
      </c>
      <c r="E7" s="2" t="s">
        <v>615</v>
      </c>
      <c r="F7" s="2" t="s">
        <v>616</v>
      </c>
      <c r="G7" s="2" t="s">
        <v>617</v>
      </c>
      <c r="H7" s="2" t="s">
        <v>618</v>
      </c>
      <c r="I7" s="2" t="s">
        <v>617</v>
      </c>
      <c r="J7" s="2" t="s">
        <v>72</v>
      </c>
      <c r="K7" s="2"/>
    </row>
    <row r="8" customFormat="false" ht="68.65" hidden="false" customHeight="false" outlineLevel="0" collapsed="false">
      <c r="A8" s="2" t="s">
        <v>619</v>
      </c>
      <c r="B8" s="2" t="s">
        <v>620</v>
      </c>
      <c r="C8" s="2" t="s">
        <v>586</v>
      </c>
      <c r="D8" s="2" t="s">
        <v>621</v>
      </c>
      <c r="E8" s="2" t="s">
        <v>622</v>
      </c>
      <c r="F8" s="2" t="s">
        <v>623</v>
      </c>
      <c r="G8" s="2" t="s">
        <v>590</v>
      </c>
      <c r="H8" s="2" t="s">
        <v>624</v>
      </c>
      <c r="I8" s="2" t="s">
        <v>590</v>
      </c>
      <c r="J8" s="2" t="s">
        <v>72</v>
      </c>
      <c r="K8" s="2"/>
    </row>
    <row r="9" customFormat="false" ht="35.05" hidden="false" customHeight="false" outlineLevel="0" collapsed="false">
      <c r="A9" s="2" t="s">
        <v>625</v>
      </c>
      <c r="B9" s="2" t="s">
        <v>626</v>
      </c>
      <c r="C9" s="2" t="s">
        <v>586</v>
      </c>
      <c r="D9" s="2" t="s">
        <v>621</v>
      </c>
      <c r="E9" s="2" t="s">
        <v>627</v>
      </c>
      <c r="F9" s="2" t="s">
        <v>628</v>
      </c>
      <c r="G9" s="2" t="s">
        <v>629</v>
      </c>
      <c r="H9" s="2" t="s">
        <v>630</v>
      </c>
      <c r="I9" s="2" t="s">
        <v>629</v>
      </c>
      <c r="J9" s="2" t="s">
        <v>72</v>
      </c>
      <c r="K9" s="2"/>
    </row>
    <row r="10" customFormat="false" ht="35.05" hidden="false" customHeight="false" outlineLevel="0" collapsed="false">
      <c r="A10" s="2" t="s">
        <v>631</v>
      </c>
      <c r="B10" s="2" t="s">
        <v>632</v>
      </c>
      <c r="C10" s="2" t="s">
        <v>586</v>
      </c>
      <c r="D10" s="2" t="s">
        <v>621</v>
      </c>
      <c r="E10" s="2" t="s">
        <v>633</v>
      </c>
      <c r="F10" s="2" t="s">
        <v>634</v>
      </c>
      <c r="G10" s="2" t="s">
        <v>635</v>
      </c>
      <c r="H10" s="2" t="s">
        <v>636</v>
      </c>
      <c r="I10" s="2" t="s">
        <v>637</v>
      </c>
      <c r="J10" s="2" t="s">
        <v>73</v>
      </c>
      <c r="K10" s="2" t="s">
        <v>195</v>
      </c>
    </row>
    <row r="11" customFormat="false" ht="23.85" hidden="false" customHeight="false" outlineLevel="0" collapsed="false">
      <c r="A11" s="2" t="s">
        <v>463</v>
      </c>
      <c r="B11" s="2" t="s">
        <v>638</v>
      </c>
      <c r="C11" s="2" t="s">
        <v>604</v>
      </c>
      <c r="D11" s="2" t="s">
        <v>639</v>
      </c>
      <c r="E11" s="2" t="s">
        <v>606</v>
      </c>
      <c r="F11" s="2" t="s">
        <v>239</v>
      </c>
      <c r="G11" s="2" t="s">
        <v>640</v>
      </c>
      <c r="H11" s="2" t="s">
        <v>641</v>
      </c>
      <c r="I11" s="2" t="s">
        <v>642</v>
      </c>
      <c r="J11" s="2" t="s">
        <v>73</v>
      </c>
      <c r="K11" s="2" t="s">
        <v>454</v>
      </c>
    </row>
    <row r="12" customFormat="false" ht="35.05" hidden="false" customHeight="false" outlineLevel="0" collapsed="false">
      <c r="A12" s="2" t="s">
        <v>643</v>
      </c>
      <c r="B12" s="2" t="s">
        <v>644</v>
      </c>
      <c r="C12" s="2" t="s">
        <v>604</v>
      </c>
      <c r="D12" s="2" t="s">
        <v>645</v>
      </c>
      <c r="E12" s="2" t="s">
        <v>606</v>
      </c>
      <c r="F12" s="2" t="s">
        <v>239</v>
      </c>
      <c r="G12" s="2" t="s">
        <v>590</v>
      </c>
      <c r="H12" s="2" t="s">
        <v>646</v>
      </c>
      <c r="I12" s="2" t="s">
        <v>590</v>
      </c>
      <c r="J12" s="2" t="s">
        <v>72</v>
      </c>
      <c r="K12" s="2"/>
    </row>
    <row r="13" customFormat="false" ht="23.85" hidden="false" customHeight="false" outlineLevel="0" collapsed="false">
      <c r="A13" s="2" t="s">
        <v>647</v>
      </c>
      <c r="B13" s="2" t="s">
        <v>648</v>
      </c>
      <c r="C13" s="2" t="s">
        <v>604</v>
      </c>
      <c r="D13" s="2" t="s">
        <v>649</v>
      </c>
      <c r="E13" s="2" t="s">
        <v>606</v>
      </c>
      <c r="F13" s="2" t="s">
        <v>239</v>
      </c>
      <c r="G13" s="2" t="s">
        <v>650</v>
      </c>
      <c r="H13" s="2" t="s">
        <v>651</v>
      </c>
      <c r="I13" s="2" t="s">
        <v>652</v>
      </c>
      <c r="J13" s="2" t="s">
        <v>73</v>
      </c>
      <c r="K13" s="2" t="s">
        <v>229</v>
      </c>
    </row>
    <row r="14" customFormat="false" ht="23.85" hidden="false" customHeight="false" outlineLevel="0" collapsed="false">
      <c r="A14" s="2" t="s">
        <v>653</v>
      </c>
      <c r="B14" s="2" t="s">
        <v>654</v>
      </c>
      <c r="C14" s="2" t="s">
        <v>586</v>
      </c>
      <c r="D14" s="2" t="s">
        <v>621</v>
      </c>
      <c r="E14" s="2" t="s">
        <v>606</v>
      </c>
      <c r="F14" s="2" t="s">
        <v>655</v>
      </c>
      <c r="G14" s="2" t="s">
        <v>656</v>
      </c>
      <c r="H14" s="2" t="s">
        <v>657</v>
      </c>
      <c r="I14" s="2" t="s">
        <v>656</v>
      </c>
      <c r="J14" s="2" t="s">
        <v>72</v>
      </c>
      <c r="K14" s="2"/>
    </row>
    <row r="15" customFormat="false" ht="35.05" hidden="false" customHeight="false" outlineLevel="0" collapsed="false">
      <c r="A15" s="2" t="s">
        <v>658</v>
      </c>
      <c r="B15" s="2" t="s">
        <v>659</v>
      </c>
      <c r="C15" s="2" t="s">
        <v>586</v>
      </c>
      <c r="D15" s="2" t="s">
        <v>621</v>
      </c>
      <c r="E15" s="2" t="s">
        <v>606</v>
      </c>
      <c r="F15" s="2" t="s">
        <v>660</v>
      </c>
      <c r="G15" s="2" t="s">
        <v>661</v>
      </c>
      <c r="H15" s="2" t="s">
        <v>662</v>
      </c>
      <c r="I15" s="2" t="s">
        <v>663</v>
      </c>
      <c r="J15" s="2" t="s">
        <v>72</v>
      </c>
      <c r="K15" s="2"/>
    </row>
    <row r="16" customFormat="false" ht="15" hidden="false" customHeight="false" outlineLevel="0" collapsed="false">
      <c r="A16" s="2" t="s">
        <v>664</v>
      </c>
      <c r="B16" s="2" t="s">
        <v>665</v>
      </c>
      <c r="C16" s="2" t="s">
        <v>586</v>
      </c>
      <c r="D16" s="2" t="s">
        <v>587</v>
      </c>
      <c r="E16" s="2" t="s">
        <v>588</v>
      </c>
      <c r="F16" s="2" t="s">
        <v>666</v>
      </c>
      <c r="G16" s="2" t="s">
        <v>667</v>
      </c>
      <c r="H16" s="2" t="s">
        <v>668</v>
      </c>
      <c r="I16" s="2"/>
      <c r="J16" s="2" t="s">
        <v>75</v>
      </c>
      <c r="K16" s="2"/>
    </row>
  </sheetData>
  <autoFilter ref="A1:K16"/>
  <conditionalFormatting sqref="J2:J16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"Not Run"</formula>
    </cfRule>
  </conditionalFormatting>
  <dataValidations count="1">
    <dataValidation allowBlank="true" errorStyle="stop" operator="between" showDropDown="false" showErrorMessage="false" showInputMessage="false" sqref="J2:J16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6" t="s">
        <v>669</v>
      </c>
    </row>
    <row r="2" customFormat="false" ht="15" hidden="false" customHeight="false" outlineLevel="0" collapsed="false">
      <c r="A2" s="7" t="s">
        <v>670</v>
      </c>
    </row>
    <row r="4" customFormat="false" ht="15" hidden="false" customHeight="false" outlineLevel="0" collapsed="false">
      <c r="A4" s="3" t="s">
        <v>671</v>
      </c>
      <c r="B4" s="4"/>
      <c r="C4" s="4"/>
    </row>
    <row r="5" customFormat="false" ht="15" hidden="false" customHeight="false" outlineLevel="0" collapsed="false">
      <c r="A5" s="2" t="s">
        <v>672</v>
      </c>
      <c r="B5" s="2" t="s">
        <v>673</v>
      </c>
      <c r="C5" s="2" t="s">
        <v>674</v>
      </c>
    </row>
    <row r="6" customFormat="false" ht="15" hidden="false" customHeight="false" outlineLevel="0" collapsed="false">
      <c r="A6" s="2" t="s">
        <v>675</v>
      </c>
      <c r="B6" s="2" t="s">
        <v>676</v>
      </c>
      <c r="C6" s="2" t="s">
        <v>677</v>
      </c>
    </row>
    <row r="7" customFormat="false" ht="15" hidden="false" customHeight="false" outlineLevel="0" collapsed="false">
      <c r="A7" s="2" t="s">
        <v>678</v>
      </c>
      <c r="B7" s="2" t="s">
        <v>679</v>
      </c>
      <c r="C7" s="2" t="s">
        <v>680</v>
      </c>
    </row>
    <row r="8" customFormat="false" ht="15" hidden="false" customHeight="false" outlineLevel="0" collapsed="false">
      <c r="A8" s="2" t="s">
        <v>681</v>
      </c>
      <c r="B8" s="2" t="s">
        <v>682</v>
      </c>
      <c r="C8" s="2" t="s">
        <v>683</v>
      </c>
    </row>
    <row r="9" customFormat="false" ht="15" hidden="false" customHeight="false" outlineLevel="0" collapsed="false">
      <c r="A9" s="2" t="s">
        <v>684</v>
      </c>
      <c r="B9" s="2" t="s">
        <v>685</v>
      </c>
      <c r="C9" s="2" t="s">
        <v>686</v>
      </c>
    </row>
    <row r="10" customFormat="false" ht="15" hidden="false" customHeight="false" outlineLevel="0" collapsed="false">
      <c r="A10" s="2" t="s">
        <v>687</v>
      </c>
      <c r="B10" s="2" t="s">
        <v>688</v>
      </c>
      <c r="C10" s="2" t="s">
        <v>689</v>
      </c>
    </row>
    <row r="12" customFormat="false" ht="15" hidden="false" customHeight="false" outlineLevel="0" collapsed="false">
      <c r="A12" s="3" t="s">
        <v>690</v>
      </c>
      <c r="B12" s="4"/>
      <c r="C12" s="4"/>
    </row>
    <row r="13" customFormat="false" ht="15" hidden="false" customHeight="false" outlineLevel="0" collapsed="false">
      <c r="A13" s="2" t="s">
        <v>691</v>
      </c>
      <c r="B13" s="2" t="s">
        <v>692</v>
      </c>
      <c r="C13" s="2" t="s">
        <v>693</v>
      </c>
    </row>
    <row r="14" customFormat="false" ht="15" hidden="false" customHeight="false" outlineLevel="0" collapsed="false">
      <c r="A14" s="2" t="s">
        <v>694</v>
      </c>
      <c r="B14" s="2" t="s">
        <v>695</v>
      </c>
      <c r="C14" s="2" t="s">
        <v>696</v>
      </c>
    </row>
    <row r="15" customFormat="false" ht="15" hidden="false" customHeight="false" outlineLevel="0" collapsed="false">
      <c r="A15" s="2" t="s">
        <v>697</v>
      </c>
      <c r="B15" s="2" t="s">
        <v>612</v>
      </c>
      <c r="C15" s="2" t="s">
        <v>698</v>
      </c>
    </row>
    <row r="16" customFormat="false" ht="15" hidden="false" customHeight="false" outlineLevel="0" collapsed="false">
      <c r="A16" s="2" t="s">
        <v>699</v>
      </c>
      <c r="B16" s="2" t="s">
        <v>700</v>
      </c>
      <c r="C16" s="2" t="s">
        <v>701</v>
      </c>
    </row>
    <row r="17" customFormat="false" ht="15" hidden="false" customHeight="false" outlineLevel="0" collapsed="false">
      <c r="A17" s="2" t="s">
        <v>702</v>
      </c>
      <c r="B17" s="2" t="s">
        <v>703</v>
      </c>
      <c r="C17" s="2" t="s">
        <v>704</v>
      </c>
    </row>
    <row r="19" customFormat="false" ht="15" hidden="false" customHeight="false" outlineLevel="0" collapsed="false">
      <c r="A19" s="3" t="s">
        <v>705</v>
      </c>
      <c r="B19" s="4"/>
      <c r="C19" s="4"/>
    </row>
    <row r="20" customFormat="false" ht="23.85" hidden="false" customHeight="false" outlineLevel="0" collapsed="false">
      <c r="A20" s="2" t="s">
        <v>706</v>
      </c>
      <c r="B20" s="2" t="s">
        <v>707</v>
      </c>
      <c r="C20" s="2" t="s">
        <v>708</v>
      </c>
    </row>
    <row r="22" customFormat="false" ht="15" hidden="false" customHeight="false" outlineLevel="0" collapsed="false">
      <c r="A22" s="3" t="s">
        <v>709</v>
      </c>
      <c r="B22" s="4"/>
      <c r="C22" s="4"/>
    </row>
    <row r="23" customFormat="false" ht="15" hidden="false" customHeight="false" outlineLevel="0" collapsed="false">
      <c r="A23" s="2" t="s">
        <v>706</v>
      </c>
      <c r="B23" s="2" t="s">
        <v>710</v>
      </c>
      <c r="C23" s="2" t="s">
        <v>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0"/>
    <col collapsed="false" customWidth="true" hidden="false" outlineLevel="0" max="4" min="4" style="0" width="34"/>
    <col collapsed="false" customWidth="true" hidden="false" outlineLevel="0" max="6" min="5" style="0" width="26"/>
    <col collapsed="false" customWidth="true" hidden="false" outlineLevel="0" max="7" min="7" style="0" width="4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712</v>
      </c>
      <c r="B1" s="1" t="s">
        <v>713</v>
      </c>
      <c r="C1" s="1" t="s">
        <v>714</v>
      </c>
      <c r="D1" s="1" t="s">
        <v>715</v>
      </c>
      <c r="E1" s="1" t="s">
        <v>716</v>
      </c>
      <c r="F1" s="1" t="s">
        <v>242</v>
      </c>
      <c r="G1" s="1" t="s">
        <v>717</v>
      </c>
      <c r="H1" s="1" t="s">
        <v>107</v>
      </c>
    </row>
    <row r="2" customFormat="false" ht="15" hidden="false" customHeight="false" outlineLevel="0" collapsed="false">
      <c r="A2" s="2" t="s">
        <v>718</v>
      </c>
      <c r="B2" s="2" t="s">
        <v>719</v>
      </c>
      <c r="C2" s="2" t="s">
        <v>720</v>
      </c>
      <c r="D2" s="2" t="s">
        <v>721</v>
      </c>
      <c r="E2" s="2" t="s">
        <v>722</v>
      </c>
      <c r="F2" s="2" t="s">
        <v>723</v>
      </c>
      <c r="G2" s="2" t="s">
        <v>724</v>
      </c>
      <c r="H2" s="2" t="s">
        <v>72</v>
      </c>
    </row>
    <row r="3" customFormat="false" ht="15" hidden="false" customHeight="false" outlineLevel="0" collapsed="false">
      <c r="A3" s="2" t="s">
        <v>725</v>
      </c>
      <c r="B3" s="2" t="s">
        <v>726</v>
      </c>
      <c r="C3" s="2" t="s">
        <v>727</v>
      </c>
      <c r="D3" s="2" t="s">
        <v>728</v>
      </c>
      <c r="E3" s="2" t="s">
        <v>729</v>
      </c>
      <c r="F3" s="2" t="s">
        <v>239</v>
      </c>
      <c r="G3" s="2" t="s">
        <v>730</v>
      </c>
      <c r="H3" s="2" t="s">
        <v>72</v>
      </c>
    </row>
    <row r="4" customFormat="false" ht="15" hidden="false" customHeight="false" outlineLevel="0" collapsed="false">
      <c r="A4" s="2" t="s">
        <v>731</v>
      </c>
      <c r="B4" s="2" t="s">
        <v>732</v>
      </c>
      <c r="C4" s="2" t="s">
        <v>733</v>
      </c>
      <c r="D4" s="2" t="s">
        <v>734</v>
      </c>
      <c r="E4" s="2" t="s">
        <v>735</v>
      </c>
      <c r="F4" s="2" t="s">
        <v>239</v>
      </c>
      <c r="G4" s="2" t="s">
        <v>736</v>
      </c>
      <c r="H4" s="2" t="s">
        <v>72</v>
      </c>
    </row>
    <row r="5" customFormat="false" ht="15" hidden="false" customHeight="false" outlineLevel="0" collapsed="false">
      <c r="A5" s="2" t="s">
        <v>737</v>
      </c>
      <c r="B5" s="2" t="s">
        <v>554</v>
      </c>
      <c r="C5" s="2" t="s">
        <v>738</v>
      </c>
      <c r="D5" s="2" t="s">
        <v>739</v>
      </c>
      <c r="E5" s="2" t="s">
        <v>740</v>
      </c>
      <c r="F5" s="2" t="s">
        <v>239</v>
      </c>
      <c r="G5" s="2" t="s">
        <v>741</v>
      </c>
      <c r="H5" s="2" t="s">
        <v>72</v>
      </c>
    </row>
    <row r="6" customFormat="false" ht="15" hidden="false" customHeight="false" outlineLevel="0" collapsed="false">
      <c r="A6" s="2" t="s">
        <v>742</v>
      </c>
      <c r="B6" s="2" t="s">
        <v>743</v>
      </c>
      <c r="C6" s="2" t="s">
        <v>744</v>
      </c>
      <c r="D6" s="2" t="s">
        <v>745</v>
      </c>
      <c r="E6" s="2" t="s">
        <v>746</v>
      </c>
      <c r="F6" s="2" t="s">
        <v>747</v>
      </c>
      <c r="G6" s="2" t="s">
        <v>748</v>
      </c>
      <c r="H6" s="2" t="s">
        <v>72</v>
      </c>
    </row>
    <row r="7" customFormat="false" ht="23.85" hidden="false" customHeight="false" outlineLevel="0" collapsed="false">
      <c r="A7" s="2" t="s">
        <v>749</v>
      </c>
      <c r="B7" s="2" t="s">
        <v>750</v>
      </c>
      <c r="C7" s="2" t="s">
        <v>751</v>
      </c>
      <c r="D7" s="2" t="s">
        <v>752</v>
      </c>
      <c r="E7" s="2" t="s">
        <v>753</v>
      </c>
      <c r="F7" s="2" t="s">
        <v>754</v>
      </c>
      <c r="G7" s="2" t="s">
        <v>755</v>
      </c>
      <c r="H7" s="2" t="s">
        <v>72</v>
      </c>
    </row>
    <row r="8" customFormat="false" ht="15" hidden="false" customHeight="false" outlineLevel="0" collapsed="false">
      <c r="A8" s="2" t="s">
        <v>107</v>
      </c>
      <c r="B8" s="2" t="s">
        <v>756</v>
      </c>
      <c r="C8" s="2" t="s">
        <v>757</v>
      </c>
      <c r="D8" s="2" t="s">
        <v>758</v>
      </c>
      <c r="E8" s="2" t="s">
        <v>759</v>
      </c>
      <c r="F8" s="2" t="s">
        <v>760</v>
      </c>
      <c r="G8" s="2" t="s">
        <v>761</v>
      </c>
      <c r="H8" s="2" t="s">
        <v>72</v>
      </c>
    </row>
    <row r="9" customFormat="false" ht="23.85" hidden="false" customHeight="false" outlineLevel="0" collapsed="false">
      <c r="A9" s="2" t="s">
        <v>762</v>
      </c>
      <c r="B9" s="2" t="s">
        <v>763</v>
      </c>
      <c r="C9" s="2" t="s">
        <v>764</v>
      </c>
      <c r="D9" s="2" t="s">
        <v>765</v>
      </c>
      <c r="E9" s="2" t="s">
        <v>766</v>
      </c>
      <c r="F9" s="2" t="s">
        <v>239</v>
      </c>
      <c r="G9" s="2" t="s">
        <v>767</v>
      </c>
      <c r="H9" s="2" t="s">
        <v>72</v>
      </c>
    </row>
  </sheetData>
  <autoFilter ref="A1:H9"/>
  <conditionalFormatting sqref="H2:H9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"Not Run"</formula>
    </cfRule>
  </conditionalFormatting>
  <dataValidations count="1">
    <dataValidation allowBlank="true" errorStyle="stop" operator="between" showDropDown="false" showErrorMessage="false" showInputMessage="false" sqref="H2:H9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54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23.85" hidden="false" customHeight="false" outlineLevel="0" collapsed="false">
      <c r="A1" s="1" t="s">
        <v>768</v>
      </c>
      <c r="B1" s="1" t="s">
        <v>100</v>
      </c>
      <c r="C1" s="1" t="s">
        <v>769</v>
      </c>
      <c r="D1" s="1" t="s">
        <v>770</v>
      </c>
      <c r="E1" s="1" t="s">
        <v>771</v>
      </c>
      <c r="F1" s="1" t="s">
        <v>106</v>
      </c>
      <c r="G1" s="1" t="s">
        <v>107</v>
      </c>
      <c r="H1" s="1" t="s">
        <v>108</v>
      </c>
    </row>
    <row r="2" customFormat="false" ht="102.2" hidden="false" customHeight="false" outlineLevel="0" collapsed="false">
      <c r="A2" s="2" t="s">
        <v>772</v>
      </c>
      <c r="B2" s="2" t="s">
        <v>773</v>
      </c>
      <c r="C2" s="2" t="s">
        <v>774</v>
      </c>
      <c r="D2" s="2" t="s">
        <v>775</v>
      </c>
      <c r="E2" s="2" t="s">
        <v>776</v>
      </c>
      <c r="F2" s="2" t="s">
        <v>777</v>
      </c>
      <c r="G2" s="2" t="s">
        <v>72</v>
      </c>
      <c r="H2" s="2"/>
    </row>
    <row r="3" customFormat="false" ht="46.25" hidden="false" customHeight="false" outlineLevel="0" collapsed="false">
      <c r="A3" s="2" t="s">
        <v>778</v>
      </c>
      <c r="B3" s="2" t="s">
        <v>779</v>
      </c>
      <c r="C3" s="2" t="s">
        <v>780</v>
      </c>
      <c r="D3" s="2" t="s">
        <v>781</v>
      </c>
      <c r="E3" s="2" t="s">
        <v>782</v>
      </c>
      <c r="F3" s="2" t="s">
        <v>783</v>
      </c>
      <c r="G3" s="2" t="s">
        <v>73</v>
      </c>
      <c r="H3" s="2" t="s">
        <v>269</v>
      </c>
    </row>
    <row r="4" customFormat="false" ht="57.45" hidden="false" customHeight="false" outlineLevel="0" collapsed="false">
      <c r="A4" s="2" t="s">
        <v>784</v>
      </c>
      <c r="B4" s="2" t="s">
        <v>785</v>
      </c>
      <c r="C4" s="2" t="s">
        <v>786</v>
      </c>
      <c r="D4" s="2" t="s">
        <v>787</v>
      </c>
      <c r="E4" s="2" t="s">
        <v>788</v>
      </c>
      <c r="F4" s="2" t="s">
        <v>119</v>
      </c>
      <c r="G4" s="2" t="s">
        <v>72</v>
      </c>
      <c r="H4" s="2"/>
    </row>
    <row r="5" customFormat="false" ht="46.25" hidden="false" customHeight="false" outlineLevel="0" collapsed="false">
      <c r="A5" s="2" t="s">
        <v>789</v>
      </c>
      <c r="B5" s="2" t="s">
        <v>790</v>
      </c>
      <c r="C5" s="2" t="s">
        <v>791</v>
      </c>
      <c r="D5" s="2" t="s">
        <v>792</v>
      </c>
      <c r="E5" s="2" t="s">
        <v>793</v>
      </c>
      <c r="F5" s="2"/>
      <c r="G5" s="2" t="s">
        <v>75</v>
      </c>
      <c r="H5" s="2"/>
    </row>
  </sheetData>
  <autoFilter ref="A1:H5"/>
  <conditionalFormatting sqref="G2:G5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"Not Run"</formula>
    </cfRule>
  </conditionalFormatting>
  <dataValidations count="1">
    <dataValidation allowBlank="true" errorStyle="stop" operator="between" showDropDown="false" showErrorMessage="false" showInputMessage="false" sqref="G2:G5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5" min="5" style="0" width="54"/>
  </cols>
  <sheetData>
    <row r="1" customFormat="false" ht="15" hidden="false" customHeight="false" outlineLevel="0" collapsed="false">
      <c r="A1" s="7" t="s">
        <v>794</v>
      </c>
    </row>
    <row r="3" customFormat="false" ht="15" hidden="false" customHeight="false" outlineLevel="0" collapsed="false">
      <c r="A3" s="1" t="s">
        <v>795</v>
      </c>
      <c r="B3" s="1" t="s">
        <v>796</v>
      </c>
      <c r="C3" s="1" t="s">
        <v>797</v>
      </c>
      <c r="D3" s="1" t="s">
        <v>798</v>
      </c>
      <c r="E3" s="1" t="s">
        <v>799</v>
      </c>
    </row>
    <row r="4" customFormat="false" ht="15" hidden="false" customHeight="false" outlineLevel="0" collapsed="false">
      <c r="A4" s="2" t="s">
        <v>800</v>
      </c>
      <c r="B4" s="2" t="s">
        <v>801</v>
      </c>
      <c r="C4" s="2" t="s">
        <v>802</v>
      </c>
      <c r="D4" s="2" t="s">
        <v>803</v>
      </c>
      <c r="E4" s="2" t="s">
        <v>804</v>
      </c>
    </row>
    <row r="5" customFormat="false" ht="15" hidden="false" customHeight="false" outlineLevel="0" collapsed="false">
      <c r="A5" s="2" t="s">
        <v>800</v>
      </c>
      <c r="B5" s="2" t="s">
        <v>805</v>
      </c>
      <c r="C5" s="2" t="s">
        <v>806</v>
      </c>
      <c r="D5" s="2" t="s">
        <v>807</v>
      </c>
      <c r="E5" s="2" t="s">
        <v>808</v>
      </c>
    </row>
    <row r="6" customFormat="false" ht="15" hidden="false" customHeight="false" outlineLevel="0" collapsed="false">
      <c r="A6" s="2" t="s">
        <v>800</v>
      </c>
      <c r="B6" s="2" t="s">
        <v>809</v>
      </c>
      <c r="C6" s="2" t="s">
        <v>810</v>
      </c>
      <c r="D6" s="2" t="s">
        <v>807</v>
      </c>
      <c r="E6" s="2" t="s">
        <v>811</v>
      </c>
    </row>
    <row r="7" customFormat="false" ht="15" hidden="false" customHeight="false" outlineLevel="0" collapsed="false">
      <c r="A7" s="2" t="s">
        <v>812</v>
      </c>
      <c r="B7" s="2" t="s">
        <v>813</v>
      </c>
      <c r="C7" s="2" t="s">
        <v>802</v>
      </c>
      <c r="D7" s="2" t="s">
        <v>803</v>
      </c>
      <c r="E7" s="2" t="s">
        <v>814</v>
      </c>
    </row>
    <row r="8" customFormat="false" ht="15" hidden="false" customHeight="false" outlineLevel="0" collapsed="false">
      <c r="A8" s="2" t="s">
        <v>812</v>
      </c>
      <c r="B8" s="2" t="s">
        <v>801</v>
      </c>
      <c r="C8" s="2" t="s">
        <v>802</v>
      </c>
      <c r="D8" s="2" t="s">
        <v>815</v>
      </c>
      <c r="E8" s="2" t="s">
        <v>816</v>
      </c>
    </row>
    <row r="9" customFormat="false" ht="15" hidden="false" customHeight="false" outlineLevel="0" collapsed="false">
      <c r="A9" s="2" t="s">
        <v>812</v>
      </c>
      <c r="B9" s="2" t="s">
        <v>817</v>
      </c>
      <c r="C9" s="2" t="s">
        <v>818</v>
      </c>
      <c r="D9" s="2" t="s">
        <v>819</v>
      </c>
      <c r="E9" s="2" t="s">
        <v>820</v>
      </c>
    </row>
    <row r="10" customFormat="false" ht="15" hidden="false" customHeight="false" outlineLevel="0" collapsed="false">
      <c r="A10" s="2" t="s">
        <v>812</v>
      </c>
      <c r="B10" s="2" t="s">
        <v>821</v>
      </c>
      <c r="C10" s="2" t="s">
        <v>822</v>
      </c>
      <c r="D10" s="2" t="s">
        <v>823</v>
      </c>
      <c r="E10" s="2" t="s">
        <v>824</v>
      </c>
    </row>
    <row r="11" customFormat="false" ht="15" hidden="false" customHeight="false" outlineLevel="0" collapsed="false">
      <c r="A11" s="2" t="s">
        <v>812</v>
      </c>
      <c r="B11" s="2" t="s">
        <v>825</v>
      </c>
      <c r="C11" s="2" t="s">
        <v>806</v>
      </c>
      <c r="D11" s="2" t="s">
        <v>826</v>
      </c>
      <c r="E11" s="2"/>
    </row>
    <row r="12" customFormat="false" ht="15" hidden="false" customHeight="false" outlineLevel="0" collapsed="false">
      <c r="A12" s="2" t="s">
        <v>827</v>
      </c>
      <c r="B12" s="2" t="s">
        <v>828</v>
      </c>
      <c r="C12" s="2" t="s">
        <v>802</v>
      </c>
      <c r="D12" s="2" t="s">
        <v>829</v>
      </c>
      <c r="E12" s="2"/>
    </row>
    <row r="13" customFormat="false" ht="15" hidden="false" customHeight="false" outlineLevel="0" collapsed="false">
      <c r="A13" s="2" t="s">
        <v>827</v>
      </c>
      <c r="B13" s="2" t="s">
        <v>830</v>
      </c>
      <c r="C13" s="2" t="s">
        <v>831</v>
      </c>
      <c r="D13" s="2" t="s">
        <v>807</v>
      </c>
      <c r="E13" s="2" t="s">
        <v>832</v>
      </c>
    </row>
    <row r="14" customFormat="false" ht="15" hidden="false" customHeight="false" outlineLevel="0" collapsed="false">
      <c r="A14" s="2" t="s">
        <v>833</v>
      </c>
      <c r="B14" s="2" t="s">
        <v>834</v>
      </c>
      <c r="C14" s="2" t="s">
        <v>835</v>
      </c>
      <c r="D14" s="2" t="s">
        <v>803</v>
      </c>
      <c r="E14" s="2" t="s">
        <v>836</v>
      </c>
    </row>
    <row r="15" customFormat="false" ht="15" hidden="false" customHeight="false" outlineLevel="0" collapsed="false">
      <c r="A15" s="2" t="s">
        <v>833</v>
      </c>
      <c r="B15" s="2" t="s">
        <v>837</v>
      </c>
      <c r="C15" s="2" t="s">
        <v>806</v>
      </c>
      <c r="D15" s="2" t="s">
        <v>819</v>
      </c>
      <c r="E15" s="2" t="s">
        <v>838</v>
      </c>
    </row>
    <row r="16" customFormat="false" ht="15" hidden="false" customHeight="false" outlineLevel="0" collapsed="false">
      <c r="A16" s="2" t="s">
        <v>833</v>
      </c>
      <c r="B16" s="2" t="s">
        <v>839</v>
      </c>
      <c r="C16" s="2" t="s">
        <v>802</v>
      </c>
      <c r="D16" s="2" t="s">
        <v>840</v>
      </c>
      <c r="E16" s="2" t="s">
        <v>841</v>
      </c>
    </row>
    <row r="17" customFormat="false" ht="15" hidden="false" customHeight="false" outlineLevel="0" collapsed="false">
      <c r="A17" s="2" t="s">
        <v>833</v>
      </c>
      <c r="B17" s="2" t="s">
        <v>842</v>
      </c>
      <c r="C17" s="2" t="s">
        <v>843</v>
      </c>
      <c r="D17" s="2" t="s">
        <v>844</v>
      </c>
      <c r="E17" s="2" t="s">
        <v>845</v>
      </c>
    </row>
    <row r="18" customFormat="false" ht="23.85" hidden="false" customHeight="false" outlineLevel="0" collapsed="false">
      <c r="A18" s="2" t="s">
        <v>833</v>
      </c>
      <c r="B18" s="2" t="s">
        <v>825</v>
      </c>
      <c r="C18" s="2" t="s">
        <v>806</v>
      </c>
      <c r="D18" s="2" t="s">
        <v>846</v>
      </c>
      <c r="E18" s="2"/>
    </row>
    <row r="19" customFormat="false" ht="15" hidden="false" customHeight="false" outlineLevel="0" collapsed="false">
      <c r="A19" s="2" t="s">
        <v>833</v>
      </c>
      <c r="B19" s="2" t="s">
        <v>847</v>
      </c>
      <c r="C19" s="2" t="s">
        <v>831</v>
      </c>
      <c r="D19" s="2" t="s">
        <v>848</v>
      </c>
      <c r="E19" s="2" t="s">
        <v>849</v>
      </c>
    </row>
    <row r="20" customFormat="false" ht="15" hidden="false" customHeight="false" outlineLevel="0" collapsed="false">
      <c r="A20" s="2" t="s">
        <v>850</v>
      </c>
      <c r="B20" s="2" t="s">
        <v>851</v>
      </c>
      <c r="C20" s="2" t="s">
        <v>835</v>
      </c>
      <c r="D20" s="2" t="s">
        <v>803</v>
      </c>
      <c r="E20" s="2"/>
    </row>
    <row r="21" customFormat="false" ht="15" hidden="false" customHeight="false" outlineLevel="0" collapsed="false">
      <c r="A21" s="2" t="s">
        <v>850</v>
      </c>
      <c r="B21" s="2" t="s">
        <v>852</v>
      </c>
      <c r="C21" s="2" t="s">
        <v>853</v>
      </c>
      <c r="D21" s="2" t="s">
        <v>854</v>
      </c>
      <c r="E21" s="2"/>
    </row>
    <row r="22" customFormat="false" ht="23.85" hidden="false" customHeight="false" outlineLevel="0" collapsed="false">
      <c r="A22" s="2" t="s">
        <v>850</v>
      </c>
      <c r="B22" s="2" t="s">
        <v>855</v>
      </c>
      <c r="C22" s="2" t="s">
        <v>856</v>
      </c>
      <c r="D22" s="2" t="s">
        <v>857</v>
      </c>
      <c r="E22" s="2" t="s">
        <v>858</v>
      </c>
    </row>
    <row r="23" customFormat="false" ht="15" hidden="false" customHeight="false" outlineLevel="0" collapsed="false">
      <c r="A23" s="2" t="s">
        <v>859</v>
      </c>
      <c r="B23" s="2" t="s">
        <v>860</v>
      </c>
      <c r="C23" s="2" t="s">
        <v>861</v>
      </c>
      <c r="D23" s="2" t="s">
        <v>807</v>
      </c>
      <c r="E23" s="2" t="s">
        <v>862</v>
      </c>
    </row>
  </sheetData>
  <autoFilter ref="A3:E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6" t="s">
        <v>863</v>
      </c>
    </row>
    <row r="2" customFormat="false" ht="15" hidden="false" customHeight="false" outlineLevel="0" collapsed="false">
      <c r="A2" s="7" t="s">
        <v>864</v>
      </c>
    </row>
    <row r="4" customFormat="false" ht="15" hidden="false" customHeight="false" outlineLevel="0" collapsed="false">
      <c r="A4" s="16" t="s">
        <v>812</v>
      </c>
    </row>
    <row r="5" customFormat="false" ht="15" hidden="false" customHeight="false" outlineLevel="0" collapsed="false">
      <c r="A5" s="17" t="s">
        <v>813</v>
      </c>
      <c r="B5" s="17" t="s">
        <v>801</v>
      </c>
      <c r="C5" s="17" t="s">
        <v>817</v>
      </c>
      <c r="D5" s="17" t="s">
        <v>865</v>
      </c>
      <c r="E5" s="17" t="s">
        <v>821</v>
      </c>
      <c r="F5" s="17" t="s">
        <v>825</v>
      </c>
    </row>
    <row r="6" customFormat="false" ht="15" hidden="false" customHeight="false" outlineLevel="0" collapsed="false">
      <c r="A6" s="9" t="n">
        <v>101</v>
      </c>
      <c r="B6" s="9" t="n">
        <v>1001</v>
      </c>
      <c r="C6" s="9" t="s">
        <v>866</v>
      </c>
      <c r="D6" s="9" t="s">
        <v>867</v>
      </c>
      <c r="E6" s="18" t="n">
        <v>64250.5</v>
      </c>
      <c r="F6" s="9" t="s">
        <v>868</v>
      </c>
    </row>
    <row r="7" customFormat="false" ht="15" hidden="false" customHeight="false" outlineLevel="0" collapsed="false">
      <c r="A7" s="9" t="n">
        <v>102</v>
      </c>
      <c r="B7" s="9" t="n">
        <v>1002</v>
      </c>
      <c r="C7" s="9" t="s">
        <v>869</v>
      </c>
      <c r="D7" s="9" t="s">
        <v>867</v>
      </c>
      <c r="E7" s="18" t="n">
        <v>12000</v>
      </c>
      <c r="F7" s="9" t="s">
        <v>868</v>
      </c>
    </row>
    <row r="9" customFormat="false" ht="15" hidden="false" customHeight="false" outlineLevel="0" collapsed="false">
      <c r="A9" s="16" t="s">
        <v>833</v>
      </c>
    </row>
    <row r="10" customFormat="false" ht="15" hidden="false" customHeight="false" outlineLevel="0" collapsed="false">
      <c r="A10" s="17" t="s">
        <v>834</v>
      </c>
      <c r="B10" s="17" t="s">
        <v>837</v>
      </c>
      <c r="C10" s="17" t="s">
        <v>839</v>
      </c>
      <c r="D10" s="17" t="s">
        <v>870</v>
      </c>
      <c r="E10" s="17" t="s">
        <v>871</v>
      </c>
      <c r="F10" s="17" t="s">
        <v>872</v>
      </c>
      <c r="G10" s="17" t="s">
        <v>825</v>
      </c>
      <c r="H10" s="17" t="s">
        <v>873</v>
      </c>
      <c r="I10" s="17" t="s">
        <v>874</v>
      </c>
    </row>
    <row r="11" customFormat="false" ht="15" hidden="false" customHeight="false" outlineLevel="0" collapsed="false">
      <c r="A11" s="9" t="n">
        <v>9001</v>
      </c>
      <c r="B11" s="9" t="s">
        <v>875</v>
      </c>
      <c r="C11" s="9" t="n">
        <v>101</v>
      </c>
      <c r="D11" s="9" t="s">
        <v>732</v>
      </c>
      <c r="E11" s="18" t="n">
        <v>5000</v>
      </c>
      <c r="F11" s="9" t="s">
        <v>876</v>
      </c>
      <c r="G11" s="9" t="s">
        <v>877</v>
      </c>
      <c r="H11" s="9" t="s">
        <v>878</v>
      </c>
      <c r="I11" s="9" t="s">
        <v>879</v>
      </c>
    </row>
    <row r="12" customFormat="false" ht="15" hidden="false" customHeight="false" outlineLevel="0" collapsed="false">
      <c r="A12" s="9" t="n">
        <v>9002</v>
      </c>
      <c r="B12" s="9" t="s">
        <v>880</v>
      </c>
      <c r="C12" s="9" t="n">
        <v>101</v>
      </c>
      <c r="D12" s="9" t="s">
        <v>732</v>
      </c>
      <c r="E12" s="18" t="n">
        <v>2500</v>
      </c>
      <c r="F12" s="9" t="s">
        <v>876</v>
      </c>
      <c r="G12" s="9" t="s">
        <v>877</v>
      </c>
      <c r="H12" s="9" t="s">
        <v>881</v>
      </c>
      <c r="I12" s="9" t="s">
        <v>882</v>
      </c>
    </row>
    <row r="13" customFormat="false" ht="15" hidden="false" customHeight="false" outlineLevel="0" collapsed="false">
      <c r="A13" s="9" t="n">
        <v>9003</v>
      </c>
      <c r="B13" s="9" t="s">
        <v>883</v>
      </c>
      <c r="C13" s="9" t="n">
        <v>101</v>
      </c>
      <c r="D13" s="9" t="s">
        <v>732</v>
      </c>
      <c r="E13" s="18" t="n">
        <v>2500</v>
      </c>
      <c r="F13" s="9" t="s">
        <v>876</v>
      </c>
      <c r="G13" s="9" t="s">
        <v>877</v>
      </c>
      <c r="H13" s="9" t="s">
        <v>881</v>
      </c>
      <c r="I13" s="9" t="s">
        <v>884</v>
      </c>
    </row>
    <row r="14" customFormat="false" ht="15" hidden="false" customHeight="false" outlineLevel="0" collapsed="false">
      <c r="A14" s="9" t="n">
        <v>9005</v>
      </c>
      <c r="B14" s="9" t="s">
        <v>885</v>
      </c>
      <c r="C14" s="9" t="n">
        <v>101</v>
      </c>
      <c r="D14" s="9" t="s">
        <v>732</v>
      </c>
      <c r="E14" s="18" t="n">
        <v>1000</v>
      </c>
      <c r="F14" s="9" t="s">
        <v>876</v>
      </c>
      <c r="G14" s="9" t="s">
        <v>886</v>
      </c>
      <c r="H14" s="9" t="s">
        <v>887</v>
      </c>
      <c r="I14" s="9" t="s">
        <v>888</v>
      </c>
    </row>
    <row r="16" customFormat="false" ht="15" hidden="false" customHeight="false" outlineLevel="0" collapsed="false">
      <c r="A16" s="16" t="s">
        <v>850</v>
      </c>
    </row>
    <row r="17" customFormat="false" ht="15" hidden="false" customHeight="false" outlineLevel="0" collapsed="false">
      <c r="A17" s="17" t="s">
        <v>851</v>
      </c>
      <c r="B17" s="17" t="s">
        <v>834</v>
      </c>
      <c r="C17" s="17" t="s">
        <v>813</v>
      </c>
      <c r="D17" s="17" t="s">
        <v>889</v>
      </c>
      <c r="E17" s="17" t="s">
        <v>871</v>
      </c>
      <c r="F17" s="17" t="s">
        <v>890</v>
      </c>
      <c r="G17" s="17" t="s">
        <v>891</v>
      </c>
    </row>
    <row r="18" customFormat="false" ht="15" hidden="false" customHeight="false" outlineLevel="0" collapsed="false">
      <c r="A18" s="9" t="n">
        <v>1</v>
      </c>
      <c r="B18" s="9" t="n">
        <v>9001</v>
      </c>
      <c r="C18" s="9" t="n">
        <v>101</v>
      </c>
      <c r="D18" s="9" t="s">
        <v>892</v>
      </c>
      <c r="E18" s="18" t="n">
        <v>5000</v>
      </c>
      <c r="F18" s="18" t="n">
        <v>70250.5</v>
      </c>
      <c r="G18" s="9" t="s">
        <v>893</v>
      </c>
    </row>
    <row r="19" customFormat="false" ht="15" hidden="false" customHeight="false" outlineLevel="0" collapsed="false">
      <c r="A19" s="9" t="n">
        <v>2</v>
      </c>
      <c r="B19" s="9" t="n">
        <v>9001</v>
      </c>
      <c r="C19" s="9" t="n">
        <v>900</v>
      </c>
      <c r="D19" s="9" t="s">
        <v>894</v>
      </c>
      <c r="E19" s="18" t="n">
        <v>5000</v>
      </c>
      <c r="F19" s="18" t="n">
        <v>1205000</v>
      </c>
      <c r="G19" s="9" t="s">
        <v>893</v>
      </c>
    </row>
    <row r="20" customFormat="false" ht="15" hidden="false" customHeight="false" outlineLevel="0" collapsed="false">
      <c r="A20" s="9" t="n">
        <v>3</v>
      </c>
      <c r="B20" s="9" t="n">
        <v>9002</v>
      </c>
      <c r="C20" s="9" t="n">
        <v>101</v>
      </c>
      <c r="D20" s="9" t="s">
        <v>892</v>
      </c>
      <c r="E20" s="18" t="n">
        <v>2500</v>
      </c>
      <c r="F20" s="18" t="n">
        <v>67750.5</v>
      </c>
      <c r="G20" s="9" t="s">
        <v>884</v>
      </c>
    </row>
    <row r="21" customFormat="false" ht="15" hidden="false" customHeight="false" outlineLevel="0" collapsed="false">
      <c r="A21" s="9" t="n">
        <v>4</v>
      </c>
      <c r="B21" s="9" t="n">
        <v>9002</v>
      </c>
      <c r="C21" s="9" t="n">
        <v>900</v>
      </c>
      <c r="D21" s="9" t="s">
        <v>894</v>
      </c>
      <c r="E21" s="18" t="n">
        <v>2500</v>
      </c>
      <c r="F21" s="18" t="n">
        <v>1207500</v>
      </c>
      <c r="G21" s="9" t="s">
        <v>884</v>
      </c>
    </row>
    <row r="22" customFormat="false" ht="15" hidden="false" customHeight="false" outlineLevel="0" collapsed="false">
      <c r="A22" s="9" t="n">
        <v>5</v>
      </c>
      <c r="B22" s="9" t="n">
        <v>9003</v>
      </c>
      <c r="C22" s="9" t="n">
        <v>101</v>
      </c>
      <c r="D22" s="9" t="s">
        <v>892</v>
      </c>
      <c r="E22" s="18" t="n">
        <v>2500</v>
      </c>
      <c r="F22" s="18" t="n">
        <v>65250.5</v>
      </c>
      <c r="G22" s="9" t="s">
        <v>895</v>
      </c>
    </row>
    <row r="23" customFormat="false" ht="15" hidden="false" customHeight="false" outlineLevel="0" collapsed="false">
      <c r="A23" s="9" t="n">
        <v>6</v>
      </c>
      <c r="B23" s="9" t="n">
        <v>9003</v>
      </c>
      <c r="C23" s="9" t="n">
        <v>900</v>
      </c>
      <c r="D23" s="9" t="s">
        <v>894</v>
      </c>
      <c r="E23" s="18" t="n">
        <v>2500</v>
      </c>
      <c r="F23" s="18" t="n">
        <v>1210000</v>
      </c>
      <c r="G23" s="9" t="s">
        <v>895</v>
      </c>
    </row>
    <row r="24" customFormat="false" ht="15" hidden="false" customHeight="false" outlineLevel="0" collapsed="false">
      <c r="A24" s="9" t="n">
        <v>7</v>
      </c>
      <c r="B24" s="9" t="n">
        <v>9005</v>
      </c>
      <c r="C24" s="9" t="n">
        <v>101</v>
      </c>
      <c r="D24" s="9" t="s">
        <v>892</v>
      </c>
      <c r="E24" s="18" t="n">
        <v>1000</v>
      </c>
      <c r="F24" s="18" t="n">
        <v>64250.5</v>
      </c>
      <c r="G24" s="9" t="s">
        <v>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4"/>
    <col collapsed="false" customWidth="true" hidden="false" outlineLevel="0" max="6" min="6" style="0" width="32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" t="s">
        <v>283</v>
      </c>
      <c r="B1" s="1" t="s">
        <v>897</v>
      </c>
      <c r="C1" s="1" t="s">
        <v>100</v>
      </c>
      <c r="D1" s="1" t="s">
        <v>898</v>
      </c>
      <c r="E1" s="1" t="s">
        <v>105</v>
      </c>
      <c r="F1" s="1" t="s">
        <v>106</v>
      </c>
      <c r="G1" s="1" t="s">
        <v>107</v>
      </c>
      <c r="H1" s="1" t="s">
        <v>108</v>
      </c>
    </row>
    <row r="2" customFormat="false" ht="32.8" hidden="false" customHeight="false" outlineLevel="0" collapsed="false">
      <c r="A2" s="2" t="s">
        <v>899</v>
      </c>
      <c r="B2" s="2" t="s">
        <v>900</v>
      </c>
      <c r="C2" s="2" t="s">
        <v>901</v>
      </c>
      <c r="D2" s="19" t="s">
        <v>902</v>
      </c>
      <c r="E2" s="2" t="s">
        <v>903</v>
      </c>
      <c r="F2" s="2" t="s">
        <v>904</v>
      </c>
      <c r="G2" s="2" t="s">
        <v>72</v>
      </c>
      <c r="H2" s="2"/>
    </row>
    <row r="3" customFormat="false" ht="23.85" hidden="false" customHeight="false" outlineLevel="0" collapsed="false">
      <c r="A3" s="2" t="s">
        <v>905</v>
      </c>
      <c r="B3" s="2" t="s">
        <v>900</v>
      </c>
      <c r="C3" s="2" t="s">
        <v>906</v>
      </c>
      <c r="D3" s="19" t="s">
        <v>907</v>
      </c>
      <c r="E3" s="2" t="s">
        <v>908</v>
      </c>
      <c r="F3" s="2" t="s">
        <v>909</v>
      </c>
      <c r="G3" s="2" t="s">
        <v>72</v>
      </c>
      <c r="H3" s="2"/>
    </row>
    <row r="4" customFormat="false" ht="32.8" hidden="false" customHeight="false" outlineLevel="0" collapsed="false">
      <c r="A4" s="2" t="s">
        <v>910</v>
      </c>
      <c r="B4" s="2" t="s">
        <v>900</v>
      </c>
      <c r="C4" s="2" t="s">
        <v>911</v>
      </c>
      <c r="D4" s="19" t="s">
        <v>912</v>
      </c>
      <c r="E4" s="2" t="s">
        <v>913</v>
      </c>
      <c r="F4" s="2" t="s">
        <v>913</v>
      </c>
      <c r="G4" s="2" t="s">
        <v>72</v>
      </c>
      <c r="H4" s="2"/>
    </row>
    <row r="5" customFormat="false" ht="22.35" hidden="false" customHeight="false" outlineLevel="0" collapsed="false">
      <c r="A5" s="2" t="s">
        <v>914</v>
      </c>
      <c r="B5" s="2" t="s">
        <v>900</v>
      </c>
      <c r="C5" s="2" t="s">
        <v>915</v>
      </c>
      <c r="D5" s="19" t="s">
        <v>916</v>
      </c>
      <c r="E5" s="2" t="s">
        <v>917</v>
      </c>
      <c r="F5" s="2" t="s">
        <v>917</v>
      </c>
      <c r="G5" s="2" t="s">
        <v>72</v>
      </c>
      <c r="H5" s="2"/>
    </row>
    <row r="6" customFormat="false" ht="43.25" hidden="false" customHeight="false" outlineLevel="0" collapsed="false">
      <c r="A6" s="2" t="s">
        <v>918</v>
      </c>
      <c r="B6" s="2" t="s">
        <v>900</v>
      </c>
      <c r="C6" s="2" t="s">
        <v>919</v>
      </c>
      <c r="D6" s="19" t="s">
        <v>920</v>
      </c>
      <c r="E6" s="2" t="s">
        <v>921</v>
      </c>
      <c r="F6" s="2" t="s">
        <v>922</v>
      </c>
      <c r="G6" s="2" t="s">
        <v>73</v>
      </c>
      <c r="H6" s="2" t="s">
        <v>229</v>
      </c>
    </row>
    <row r="7" customFormat="false" ht="22.35" hidden="false" customHeight="false" outlineLevel="0" collapsed="false">
      <c r="A7" s="2" t="s">
        <v>923</v>
      </c>
      <c r="B7" s="2" t="s">
        <v>900</v>
      </c>
      <c r="C7" s="2" t="s">
        <v>924</v>
      </c>
      <c r="D7" s="19" t="s">
        <v>925</v>
      </c>
      <c r="E7" s="2" t="s">
        <v>917</v>
      </c>
      <c r="F7" s="2" t="s">
        <v>917</v>
      </c>
      <c r="G7" s="2" t="s">
        <v>72</v>
      </c>
      <c r="H7" s="2"/>
    </row>
    <row r="8" customFormat="false" ht="53.7" hidden="false" customHeight="false" outlineLevel="0" collapsed="false">
      <c r="A8" s="2" t="s">
        <v>926</v>
      </c>
      <c r="B8" s="2" t="s">
        <v>927</v>
      </c>
      <c r="C8" s="2" t="s">
        <v>928</v>
      </c>
      <c r="D8" s="19" t="s">
        <v>929</v>
      </c>
      <c r="E8" s="2" t="s">
        <v>917</v>
      </c>
      <c r="F8" s="2" t="s">
        <v>917</v>
      </c>
      <c r="G8" s="2" t="s">
        <v>72</v>
      </c>
      <c r="H8" s="2"/>
    </row>
    <row r="9" customFormat="false" ht="32.8" hidden="false" customHeight="false" outlineLevel="0" collapsed="false">
      <c r="A9" s="2" t="s">
        <v>930</v>
      </c>
      <c r="B9" s="2" t="s">
        <v>927</v>
      </c>
      <c r="C9" s="2" t="s">
        <v>931</v>
      </c>
      <c r="D9" s="19" t="s">
        <v>932</v>
      </c>
      <c r="E9" s="2" t="s">
        <v>917</v>
      </c>
      <c r="F9" s="2" t="s">
        <v>917</v>
      </c>
      <c r="G9" s="2" t="s">
        <v>72</v>
      </c>
      <c r="H9" s="2"/>
    </row>
    <row r="10" customFormat="false" ht="64.15" hidden="false" customHeight="false" outlineLevel="0" collapsed="false">
      <c r="A10" s="2" t="s">
        <v>933</v>
      </c>
      <c r="B10" s="2" t="s">
        <v>927</v>
      </c>
      <c r="C10" s="2" t="s">
        <v>934</v>
      </c>
      <c r="D10" s="19" t="s">
        <v>935</v>
      </c>
      <c r="E10" s="2" t="s">
        <v>917</v>
      </c>
      <c r="F10" s="2" t="s">
        <v>917</v>
      </c>
      <c r="G10" s="2" t="s">
        <v>72</v>
      </c>
      <c r="H10" s="2"/>
    </row>
    <row r="11" customFormat="false" ht="43.25" hidden="false" customHeight="false" outlineLevel="0" collapsed="false">
      <c r="A11" s="2" t="s">
        <v>936</v>
      </c>
      <c r="B11" s="2" t="s">
        <v>927</v>
      </c>
      <c r="C11" s="2" t="s">
        <v>937</v>
      </c>
      <c r="D11" s="19" t="s">
        <v>938</v>
      </c>
      <c r="E11" s="2" t="s">
        <v>917</v>
      </c>
      <c r="F11" s="2" t="s">
        <v>939</v>
      </c>
      <c r="G11" s="2" t="s">
        <v>73</v>
      </c>
      <c r="H11" s="2" t="s">
        <v>195</v>
      </c>
    </row>
    <row r="12" customFormat="false" ht="53.7" hidden="false" customHeight="false" outlineLevel="0" collapsed="false">
      <c r="A12" s="2" t="s">
        <v>940</v>
      </c>
      <c r="B12" s="2" t="s">
        <v>927</v>
      </c>
      <c r="C12" s="2" t="s">
        <v>941</v>
      </c>
      <c r="D12" s="19" t="s">
        <v>942</v>
      </c>
      <c r="E12" s="2" t="s">
        <v>943</v>
      </c>
      <c r="F12" s="2" t="s">
        <v>944</v>
      </c>
      <c r="G12" s="2" t="s">
        <v>72</v>
      </c>
      <c r="H12" s="2"/>
    </row>
    <row r="13" customFormat="false" ht="64.15" hidden="false" customHeight="false" outlineLevel="0" collapsed="false">
      <c r="A13" s="2" t="s">
        <v>945</v>
      </c>
      <c r="B13" s="2" t="s">
        <v>927</v>
      </c>
      <c r="C13" s="2" t="s">
        <v>946</v>
      </c>
      <c r="D13" s="19" t="s">
        <v>947</v>
      </c>
      <c r="E13" s="2" t="s">
        <v>948</v>
      </c>
      <c r="F13" s="2" t="s">
        <v>949</v>
      </c>
      <c r="G13" s="2" t="s">
        <v>72</v>
      </c>
      <c r="H13" s="2"/>
    </row>
    <row r="14" customFormat="false" ht="22.35" hidden="false" customHeight="false" outlineLevel="0" collapsed="false">
      <c r="A14" s="2" t="s">
        <v>950</v>
      </c>
      <c r="B14" s="2" t="s">
        <v>927</v>
      </c>
      <c r="C14" s="2" t="s">
        <v>951</v>
      </c>
      <c r="D14" s="19" t="s">
        <v>952</v>
      </c>
      <c r="E14" s="2" t="s">
        <v>917</v>
      </c>
      <c r="F14" s="2" t="s">
        <v>917</v>
      </c>
      <c r="G14" s="2" t="s">
        <v>72</v>
      </c>
      <c r="H14" s="2"/>
    </row>
    <row r="15" customFormat="false" ht="74.6" hidden="false" customHeight="false" outlineLevel="0" collapsed="false">
      <c r="A15" s="2" t="s">
        <v>953</v>
      </c>
      <c r="B15" s="2" t="s">
        <v>927</v>
      </c>
      <c r="C15" s="2" t="s">
        <v>954</v>
      </c>
      <c r="D15" s="19" t="s">
        <v>955</v>
      </c>
      <c r="E15" s="2" t="s">
        <v>917</v>
      </c>
      <c r="F15" s="2" t="s">
        <v>956</v>
      </c>
      <c r="G15" s="2" t="s">
        <v>73</v>
      </c>
      <c r="H15" s="2" t="s">
        <v>187</v>
      </c>
    </row>
    <row r="16" customFormat="false" ht="74.6" hidden="false" customHeight="false" outlineLevel="0" collapsed="false">
      <c r="A16" s="2" t="s">
        <v>957</v>
      </c>
      <c r="B16" s="2" t="s">
        <v>501</v>
      </c>
      <c r="C16" s="2" t="s">
        <v>958</v>
      </c>
      <c r="D16" s="19" t="s">
        <v>959</v>
      </c>
      <c r="E16" s="2" t="s">
        <v>917</v>
      </c>
      <c r="F16" s="2" t="s">
        <v>960</v>
      </c>
      <c r="G16" s="2" t="s">
        <v>73</v>
      </c>
      <c r="H16" s="2" t="s">
        <v>269</v>
      </c>
    </row>
    <row r="17" customFormat="false" ht="32.8" hidden="false" customHeight="false" outlineLevel="0" collapsed="false">
      <c r="A17" s="2" t="s">
        <v>961</v>
      </c>
      <c r="B17" s="2" t="s">
        <v>501</v>
      </c>
      <c r="C17" s="2" t="s">
        <v>962</v>
      </c>
      <c r="D17" s="19" t="s">
        <v>963</v>
      </c>
      <c r="E17" s="2" t="s">
        <v>917</v>
      </c>
      <c r="F17" s="2" t="s">
        <v>917</v>
      </c>
      <c r="G17" s="2" t="s">
        <v>72</v>
      </c>
      <c r="H17" s="2"/>
    </row>
    <row r="18" customFormat="false" ht="43.25" hidden="false" customHeight="false" outlineLevel="0" collapsed="false">
      <c r="A18" s="2" t="s">
        <v>964</v>
      </c>
      <c r="B18" s="2" t="s">
        <v>501</v>
      </c>
      <c r="C18" s="2" t="s">
        <v>965</v>
      </c>
      <c r="D18" s="19" t="s">
        <v>966</v>
      </c>
      <c r="E18" s="2" t="s">
        <v>917</v>
      </c>
      <c r="F18" s="2" t="s">
        <v>917</v>
      </c>
      <c r="G18" s="2" t="s">
        <v>72</v>
      </c>
      <c r="H18" s="2"/>
    </row>
    <row r="19" customFormat="false" ht="53.7" hidden="false" customHeight="false" outlineLevel="0" collapsed="false">
      <c r="A19" s="2" t="s">
        <v>967</v>
      </c>
      <c r="B19" s="2" t="s">
        <v>501</v>
      </c>
      <c r="C19" s="2" t="s">
        <v>968</v>
      </c>
      <c r="D19" s="19" t="s">
        <v>969</v>
      </c>
      <c r="E19" s="2" t="s">
        <v>917</v>
      </c>
      <c r="F19" s="2" t="s">
        <v>917</v>
      </c>
      <c r="G19" s="2" t="s">
        <v>72</v>
      </c>
      <c r="H19" s="2"/>
    </row>
    <row r="20" customFormat="false" ht="43.25" hidden="false" customHeight="false" outlineLevel="0" collapsed="false">
      <c r="A20" s="2" t="s">
        <v>970</v>
      </c>
      <c r="B20" s="2" t="s">
        <v>501</v>
      </c>
      <c r="C20" s="2" t="s">
        <v>971</v>
      </c>
      <c r="D20" s="19" t="s">
        <v>972</v>
      </c>
      <c r="E20" s="2" t="s">
        <v>917</v>
      </c>
      <c r="F20" s="2" t="s">
        <v>917</v>
      </c>
      <c r="G20" s="2" t="s">
        <v>72</v>
      </c>
      <c r="H20" s="2"/>
    </row>
    <row r="21" customFormat="false" ht="32.8" hidden="false" customHeight="false" outlineLevel="0" collapsed="false">
      <c r="A21" s="2" t="s">
        <v>973</v>
      </c>
      <c r="B21" s="2" t="s">
        <v>501</v>
      </c>
      <c r="C21" s="2" t="s">
        <v>974</v>
      </c>
      <c r="D21" s="19" t="s">
        <v>975</v>
      </c>
      <c r="E21" s="2" t="s">
        <v>917</v>
      </c>
      <c r="F21" s="2" t="s">
        <v>917</v>
      </c>
      <c r="G21" s="2" t="s">
        <v>72</v>
      </c>
      <c r="H21" s="2"/>
    </row>
  </sheetData>
  <autoFilter ref="A1:H21"/>
  <conditionalFormatting sqref="G2:G21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"Not Run"</formula>
    </cfRule>
  </conditionalFormatting>
  <dataValidations count="1">
    <dataValidation allowBlank="true" errorStyle="stop" operator="between" showDropDown="false" showErrorMessage="false" showInputMessage="false" sqref="G2:G21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2026-09-24T11:43:40Z</dcterms:created>
  <dc:creator>openpyxl</dc:creator>
  <dc:description/>
  <dc:language>en-US</dc:language>
  <cp:lastModifiedBy/>
  <dcterms:modified xsi:type="dcterms:W3CDTF">2026-09-24T11:43:40Z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